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defaultThemeVersion="166925"/>
  <mc:AlternateContent xmlns:mc="http://schemas.openxmlformats.org/markup-compatibility/2006">
    <mc:Choice Requires="x15">
      <x15ac:absPath xmlns:x15ac="http://schemas.microsoft.com/office/spreadsheetml/2010/11/ac" url="J:\mycode\pealpool.github.io\plan\"/>
    </mc:Choice>
  </mc:AlternateContent>
  <xr:revisionPtr revIDLastSave="0" documentId="13_ncr:1_{1065A525-EA3E-470F-9DF5-4E85661E7650}" xr6:coauthVersionLast="45" xr6:coauthVersionMax="45" xr10:uidLastSave="{00000000-0000-0000-0000-000000000000}"/>
  <bookViews>
    <workbookView xWindow="4245" yWindow="2175" windowWidth="24555" windowHeight="13575" xr2:uid="{07694949-CE91-4AC6-84BF-EA7187E3619C}"/>
  </bookViews>
  <sheets>
    <sheet name="攻击" sheetId="2" r:id="rId1"/>
    <sheet name="防御" sheetId="3" r:id="rId2"/>
    <sheet name="闪避" sheetId="4" r:id="rId3"/>
    <sheet name="被动" sheetId="5" r:id="rId4"/>
    <sheet name="风格" sheetId="1" r:id="rId5"/>
    <sheet name="基本" sheetId="6"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52" i="1" l="1"/>
  <c r="E52" i="1"/>
  <c r="G52" i="1"/>
  <c r="F52" i="1"/>
  <c r="D53" i="1"/>
  <c r="E53" i="1"/>
  <c r="G53" i="1"/>
  <c r="F53" i="1"/>
  <c r="D54" i="1"/>
  <c r="E54" i="1"/>
  <c r="G54" i="1"/>
  <c r="F54" i="1"/>
  <c r="D55" i="1"/>
  <c r="E55" i="1"/>
  <c r="G55" i="1"/>
  <c r="F55" i="1"/>
  <c r="C53" i="1"/>
  <c r="C54" i="1"/>
  <c r="C55" i="1"/>
  <c r="C52" i="1"/>
  <c r="C45" i="1"/>
  <c r="D45" i="1"/>
  <c r="E45" i="1"/>
  <c r="G45" i="1"/>
  <c r="C46" i="1"/>
  <c r="D46" i="1"/>
  <c r="E46" i="1"/>
  <c r="G46" i="1"/>
  <c r="C47" i="1"/>
  <c r="D47" i="1"/>
  <c r="E47" i="1"/>
  <c r="G47" i="1"/>
  <c r="C48" i="1"/>
  <c r="D48" i="1"/>
  <c r="E48" i="1"/>
  <c r="G48" i="1"/>
  <c r="C49" i="1"/>
  <c r="D49" i="1"/>
  <c r="E49" i="1"/>
  <c r="G49" i="1"/>
  <c r="C50" i="1"/>
  <c r="D50" i="1"/>
  <c r="E50" i="1"/>
  <c r="G50" i="1"/>
  <c r="F46" i="1"/>
  <c r="F47" i="1"/>
  <c r="F48" i="1"/>
  <c r="F49" i="1"/>
  <c r="F50" i="1"/>
  <c r="F45" i="1"/>
  <c r="C39" i="1"/>
  <c r="D39" i="1"/>
  <c r="E39" i="1"/>
  <c r="G39" i="1"/>
  <c r="F39" i="1"/>
  <c r="C40" i="1"/>
  <c r="D40" i="1"/>
  <c r="E40" i="1"/>
  <c r="G40" i="1"/>
  <c r="F40" i="1"/>
  <c r="C41" i="1"/>
  <c r="D41" i="1"/>
  <c r="E41" i="1"/>
  <c r="G41" i="1"/>
  <c r="F41" i="1"/>
  <c r="C42" i="1"/>
  <c r="D42" i="1"/>
  <c r="E42" i="1"/>
  <c r="G42" i="1"/>
  <c r="F42" i="1"/>
  <c r="C43" i="1"/>
  <c r="D43" i="1"/>
  <c r="E43" i="1"/>
  <c r="G43" i="1"/>
  <c r="F43" i="1"/>
  <c r="D38" i="1"/>
  <c r="E38" i="1"/>
  <c r="G38" i="1"/>
  <c r="F38" i="1"/>
  <c r="C38" i="1"/>
  <c r="D31" i="1"/>
  <c r="F31" i="1"/>
  <c r="D32" i="1"/>
  <c r="F32" i="1"/>
  <c r="D33" i="1"/>
  <c r="F33" i="1"/>
  <c r="D34" i="1"/>
  <c r="F34" i="1"/>
  <c r="D35" i="1"/>
  <c r="F35" i="1"/>
  <c r="D36" i="1"/>
  <c r="F36" i="1"/>
  <c r="D24" i="1"/>
  <c r="E24" i="1"/>
  <c r="G24" i="1"/>
  <c r="F24" i="1"/>
  <c r="F21" i="1" s="1"/>
  <c r="D25" i="1"/>
  <c r="E25" i="1"/>
  <c r="G25" i="1"/>
  <c r="F25" i="1"/>
  <c r="D26" i="1"/>
  <c r="E26" i="1"/>
  <c r="G26" i="1"/>
  <c r="F26" i="1"/>
  <c r="D27" i="1"/>
  <c r="E27" i="1"/>
  <c r="G27" i="1"/>
  <c r="F27" i="1"/>
  <c r="D28" i="1"/>
  <c r="E28" i="1"/>
  <c r="G28" i="1"/>
  <c r="F28" i="1"/>
  <c r="D29" i="1"/>
  <c r="E29" i="1"/>
  <c r="G29" i="1"/>
  <c r="F29" i="1"/>
  <c r="C25" i="1"/>
  <c r="C26" i="1"/>
  <c r="C27" i="1"/>
  <c r="C28" i="1"/>
  <c r="C29" i="1"/>
  <c r="C24" i="1"/>
  <c r="G21" i="1" l="1"/>
  <c r="C21" i="1"/>
  <c r="E21" i="1"/>
  <c r="D21" i="1"/>
</calcChain>
</file>

<file path=xl/sharedStrings.xml><?xml version="1.0" encoding="utf-8"?>
<sst xmlns="http://schemas.openxmlformats.org/spreadsheetml/2006/main" count="931" uniqueCount="640">
  <si>
    <t>派别</t>
  </si>
  <si>
    <t>招式</t>
  </si>
  <si>
    <t>攻击对象部位</t>
  </si>
  <si>
    <t>内伤伤害</t>
  </si>
  <si>
    <t>攻击时间</t>
    <phoneticPr fontId="2" type="noConversion"/>
  </si>
  <si>
    <t>攻击后摇</t>
  </si>
  <si>
    <t>手</t>
  </si>
  <si>
    <t>脚</t>
    <phoneticPr fontId="2" type="noConversion"/>
  </si>
  <si>
    <r>
      <rPr>
        <sz val="11"/>
        <color theme="1"/>
        <rFont val="等线"/>
        <family val="2"/>
        <charset val="134"/>
        <scheme val="minor"/>
      </rPr>
      <t>头</t>
    </r>
    <phoneticPr fontId="2" type="noConversion"/>
  </si>
  <si>
    <t>出招部位</t>
    <phoneticPr fontId="2" type="noConversion"/>
  </si>
  <si>
    <t>手</t>
    <phoneticPr fontId="2" type="noConversion"/>
  </si>
  <si>
    <t>躯干</t>
    <phoneticPr fontId="2" type="noConversion"/>
  </si>
  <si>
    <t>八卦掌</t>
    <phoneticPr fontId="2" type="noConversion"/>
  </si>
  <si>
    <t>连招</t>
    <phoneticPr fontId="2" type="noConversion"/>
  </si>
  <si>
    <t>外伤</t>
  </si>
  <si>
    <t>破绽</t>
  </si>
  <si>
    <t>流血</t>
  </si>
  <si>
    <t>金刚宗</t>
    <phoneticPr fontId="2" type="noConversion"/>
  </si>
  <si>
    <t>防御</t>
    <phoneticPr fontId="2" type="noConversion"/>
  </si>
  <si>
    <t>闪避</t>
    <phoneticPr fontId="2" type="noConversion"/>
  </si>
  <si>
    <t>血犼教</t>
    <phoneticPr fontId="2" type="noConversion"/>
  </si>
  <si>
    <t>狮相门</t>
    <phoneticPr fontId="2" type="noConversion"/>
  </si>
  <si>
    <t>风格</t>
    <phoneticPr fontId="2" type="noConversion"/>
  </si>
  <si>
    <t>唐门</t>
    <phoneticPr fontId="2" type="noConversion"/>
  </si>
  <si>
    <t>大理段氏</t>
    <phoneticPr fontId="2" type="noConversion"/>
  </si>
  <si>
    <t>武当派</t>
    <phoneticPr fontId="2" type="noConversion"/>
  </si>
  <si>
    <t>少林派</t>
    <phoneticPr fontId="2" type="noConversion"/>
  </si>
  <si>
    <t>峨眉派</t>
    <phoneticPr fontId="2" type="noConversion"/>
  </si>
  <si>
    <t>慕容氏</t>
    <phoneticPr fontId="2" type="noConversion"/>
  </si>
  <si>
    <t>鹰爪门</t>
    <phoneticPr fontId="2" type="noConversion"/>
  </si>
  <si>
    <t>云手</t>
    <phoneticPr fontId="2" type="noConversion"/>
  </si>
  <si>
    <t>加成</t>
    <phoneticPr fontId="2" type="noConversion"/>
  </si>
  <si>
    <t>格挡率加成</t>
    <phoneticPr fontId="2" type="noConversion"/>
  </si>
  <si>
    <t>备注</t>
    <phoneticPr fontId="2" type="noConversion"/>
  </si>
  <si>
    <t>八卦步</t>
    <phoneticPr fontId="2" type="noConversion"/>
  </si>
  <si>
    <t>闪避率加成</t>
    <phoneticPr fontId="2" type="noConversion"/>
  </si>
  <si>
    <t>闪避+5%</t>
    <phoneticPr fontId="2" type="noConversion"/>
  </si>
  <si>
    <t>铁布衫</t>
    <phoneticPr fontId="2" type="noConversion"/>
  </si>
  <si>
    <t>金钟罩</t>
    <phoneticPr fontId="2" type="noConversion"/>
  </si>
  <si>
    <t>外伤防御 +5%，内伤防御 +20%，弹反伤害+10%</t>
    <phoneticPr fontId="2" type="noConversion"/>
  </si>
  <si>
    <t>外伤防御 +25%，弹反伤害+10%</t>
    <phoneticPr fontId="2" type="noConversion"/>
  </si>
  <si>
    <t>https://gl.ali213.net/html/2018-9/269353_11.html</t>
  </si>
  <si>
    <t>狮啸功</t>
    <phoneticPr fontId="2" type="noConversion"/>
  </si>
  <si>
    <t>金刚不坏身</t>
    <phoneticPr fontId="2" type="noConversion"/>
  </si>
  <si>
    <t>外伤防御 +15%，内伤防御 +15%，</t>
    <phoneticPr fontId="2" type="noConversion"/>
  </si>
  <si>
    <t>刀枪不入法</t>
    <phoneticPr fontId="2" type="noConversion"/>
  </si>
  <si>
    <t>头</t>
    <phoneticPr fontId="2" type="noConversion"/>
  </si>
  <si>
    <t>铁头功</t>
    <phoneticPr fontId="2" type="noConversion"/>
  </si>
  <si>
    <t>大力金刚腿</t>
    <phoneticPr fontId="2" type="noConversion"/>
  </si>
  <si>
    <t>五毒教</t>
    <phoneticPr fontId="2" type="noConversion"/>
  </si>
  <si>
    <t>蛛网缠</t>
    <phoneticPr fontId="2" type="noConversion"/>
  </si>
  <si>
    <t>特效</t>
    <phoneticPr fontId="2" type="noConversion"/>
  </si>
  <si>
    <t>毒积累</t>
    <phoneticPr fontId="2" type="noConversion"/>
  </si>
  <si>
    <t>青蛇刁手</t>
    <phoneticPr fontId="2" type="noConversion"/>
  </si>
  <si>
    <t>五毒衣</t>
    <phoneticPr fontId="2" type="noConversion"/>
  </si>
  <si>
    <t>被直接命中时，反击毒伤害10；毒防御5</t>
    <phoneticPr fontId="2" type="noConversion"/>
  </si>
  <si>
    <t>鹰爪门</t>
  </si>
  <si>
    <t>沾衣十八跌</t>
    <phoneticPr fontId="2" type="noConversion"/>
  </si>
  <si>
    <t>龙爪手</t>
    <phoneticPr fontId="2" type="noConversion"/>
  </si>
  <si>
    <t>https://taiwu.huijiwiki.com/wiki/%E6%A8%A1%E6%9D%BF:Navbox%E5%8A%9F%E6%B3%95</t>
  </si>
  <si>
    <t>般若掌</t>
    <phoneticPr fontId="2" type="noConversion"/>
  </si>
  <si>
    <t>大力金刚指</t>
    <phoneticPr fontId="2" type="noConversion"/>
  </si>
  <si>
    <t>伏魔腿</t>
    <phoneticPr fontId="2" type="noConversion"/>
  </si>
  <si>
    <t>通臂拳</t>
    <phoneticPr fontId="2" type="noConversion"/>
  </si>
  <si>
    <t>一苇渡江</t>
    <phoneticPr fontId="2" type="noConversion"/>
  </si>
  <si>
    <t>一指禅</t>
    <phoneticPr fontId="2" type="noConversion"/>
  </si>
  <si>
    <t>千手法</t>
    <phoneticPr fontId="2" type="noConversion"/>
  </si>
  <si>
    <t>格挡+10%</t>
    <phoneticPr fontId="2" type="noConversion"/>
  </si>
  <si>
    <t>金身法</t>
    <phoneticPr fontId="2" type="noConversion"/>
  </si>
  <si>
    <t>太玄功</t>
    <phoneticPr fontId="2" type="noConversion"/>
  </si>
  <si>
    <t>外伤伤害+10%，外伤防御 +10%</t>
    <phoneticPr fontId="2" type="noConversion"/>
  </si>
  <si>
    <t>内伤伤害+10%，内伤防御 +10%</t>
    <phoneticPr fontId="2" type="noConversion"/>
  </si>
  <si>
    <t>一元指</t>
    <phoneticPr fontId="2" type="noConversion"/>
  </si>
  <si>
    <t>内伤伤害+10%，5s</t>
    <phoneticPr fontId="2" type="noConversion"/>
  </si>
  <si>
    <t>缠丝手</t>
    <phoneticPr fontId="2" type="noConversion"/>
  </si>
  <si>
    <t>四象掌</t>
    <phoneticPr fontId="2" type="noConversion"/>
  </si>
  <si>
    <t>金顶绵掌</t>
    <phoneticPr fontId="2" type="noConversion"/>
  </si>
  <si>
    <t>飘雪穿云掌</t>
    <phoneticPr fontId="2" type="noConversion"/>
  </si>
  <si>
    <t>截手九式</t>
    <phoneticPr fontId="2" type="noConversion"/>
  </si>
  <si>
    <t>佛光普照</t>
    <phoneticPr fontId="2" type="noConversion"/>
  </si>
  <si>
    <t>金鼎飞仙</t>
    <phoneticPr fontId="2" type="noConversion"/>
  </si>
  <si>
    <t>命中+5%</t>
    <phoneticPr fontId="2" type="noConversion"/>
  </si>
  <si>
    <t>移花接木</t>
    <phoneticPr fontId="2" type="noConversion"/>
  </si>
  <si>
    <t>移形换影</t>
    <phoneticPr fontId="2" type="noConversion"/>
  </si>
  <si>
    <t>灭腿</t>
    <phoneticPr fontId="2" type="noConversion"/>
  </si>
  <si>
    <t>绝腿</t>
    <phoneticPr fontId="2" type="noConversion"/>
  </si>
  <si>
    <t>梅花步</t>
    <phoneticPr fontId="2" type="noConversion"/>
  </si>
  <si>
    <t>莲花步</t>
    <phoneticPr fontId="2" type="noConversion"/>
  </si>
  <si>
    <t>利用树木山石替代自身受到攻击，照常弹反伤害</t>
    <phoneticPr fontId="2" type="noConversion"/>
  </si>
  <si>
    <t>按命中弹反伤害</t>
    <phoneticPr fontId="2" type="noConversion"/>
  </si>
  <si>
    <t>高高跃起，准备下落攻击</t>
    <phoneticPr fontId="2" type="noConversion"/>
  </si>
  <si>
    <t>命中+5%，5s</t>
    <phoneticPr fontId="2" type="noConversion"/>
  </si>
  <si>
    <t>闪避+5%，5s</t>
    <phoneticPr fontId="2" type="noConversion"/>
  </si>
  <si>
    <t>下次的攻击前摇-0.2s</t>
    <phoneticPr fontId="2" type="noConversion"/>
  </si>
  <si>
    <t>外伤伤害+5%，5s</t>
    <phoneticPr fontId="2" type="noConversion"/>
  </si>
  <si>
    <t>内伤伤害+5%，5s</t>
    <phoneticPr fontId="2" type="noConversion"/>
  </si>
  <si>
    <t>四象莲华</t>
    <phoneticPr fontId="2" type="noConversion"/>
  </si>
  <si>
    <t>跌打十八式</t>
    <phoneticPr fontId="2" type="noConversion"/>
  </si>
  <si>
    <t>反击外伤伤害25，内伤伤害25</t>
    <phoneticPr fontId="2" type="noConversion"/>
  </si>
  <si>
    <t>分花拂柳</t>
    <phoneticPr fontId="2" type="noConversion"/>
  </si>
  <si>
    <t>如同闪避，不受格挡，不弹反伤害</t>
    <phoneticPr fontId="2" type="noConversion"/>
  </si>
  <si>
    <t>壁虎游墙</t>
    <phoneticPr fontId="2" type="noConversion"/>
  </si>
  <si>
    <t>达摩十八手</t>
    <phoneticPr fontId="2" type="noConversion"/>
  </si>
  <si>
    <t>六十八罗汉拳</t>
    <phoneticPr fontId="2" type="noConversion"/>
  </si>
  <si>
    <t>千手观音</t>
    <phoneticPr fontId="2" type="noConversion"/>
  </si>
  <si>
    <t>大力金刚拳</t>
    <phoneticPr fontId="2" type="noConversion"/>
  </si>
  <si>
    <t>铜人护体</t>
    <phoneticPr fontId="2" type="noConversion"/>
  </si>
  <si>
    <t>格挡率+5%，5s</t>
    <phoneticPr fontId="2" type="noConversion"/>
  </si>
  <si>
    <t>外伤防御+5%，5s</t>
    <phoneticPr fontId="2" type="noConversion"/>
  </si>
  <si>
    <t>如来千手式</t>
    <phoneticPr fontId="2" type="noConversion"/>
  </si>
  <si>
    <t>去烦恼</t>
    <phoneticPr fontId="2" type="noConversion"/>
  </si>
  <si>
    <t>内伤防御+5%，5s</t>
    <phoneticPr fontId="2" type="noConversion"/>
  </si>
  <si>
    <t>因陀罗抓</t>
    <phoneticPr fontId="2" type="noConversion"/>
  </si>
  <si>
    <t>大智无定步</t>
    <phoneticPr fontId="2" type="noConversion"/>
  </si>
  <si>
    <t>下次攻击前摇+0.2s</t>
    <phoneticPr fontId="2" type="noConversion"/>
  </si>
  <si>
    <t>使出轻身发，奋力后跃，远离敌人</t>
    <phoneticPr fontId="2" type="noConversion"/>
  </si>
  <si>
    <t>耐力消耗</t>
  </si>
  <si>
    <t>阿罗汉附体</t>
    <phoneticPr fontId="2" type="noConversion"/>
  </si>
  <si>
    <t>易筋经</t>
    <phoneticPr fontId="2" type="noConversion"/>
  </si>
  <si>
    <t>菩提心法</t>
    <phoneticPr fontId="2" type="noConversion"/>
  </si>
  <si>
    <t>外伤伤害+15%</t>
    <phoneticPr fontId="2" type="noConversion"/>
  </si>
  <si>
    <t>紫阳正气拳</t>
    <phoneticPr fontId="2" type="noConversion"/>
  </si>
  <si>
    <t>格挡+5%</t>
    <phoneticPr fontId="2" type="noConversion"/>
  </si>
  <si>
    <t>北斗步</t>
    <phoneticPr fontId="2" type="noConversion"/>
  </si>
  <si>
    <t>格挡+5%，5s</t>
    <phoneticPr fontId="2" type="noConversion"/>
  </si>
  <si>
    <t>八封掌</t>
    <phoneticPr fontId="2" type="noConversion"/>
  </si>
  <si>
    <t>无极劲</t>
    <phoneticPr fontId="2" type="noConversion"/>
  </si>
  <si>
    <t>太极拳</t>
    <phoneticPr fontId="2" type="noConversion"/>
  </si>
  <si>
    <t>天蚕诀</t>
    <phoneticPr fontId="2" type="noConversion"/>
  </si>
  <si>
    <t>四两拨千斤</t>
    <phoneticPr fontId="2" type="noConversion"/>
  </si>
  <si>
    <t>弱水柔易</t>
    <phoneticPr fontId="2" type="noConversion"/>
  </si>
  <si>
    <t>三花聚顶</t>
    <phoneticPr fontId="2" type="noConversion"/>
  </si>
  <si>
    <t>外伤防御+10%，内伤防御+10%，毒防御5</t>
    <phoneticPr fontId="2" type="noConversion"/>
  </si>
  <si>
    <t>内伤伤害+10%，内伤防御+10%</t>
    <phoneticPr fontId="2" type="noConversion"/>
  </si>
  <si>
    <t>无上罡气</t>
    <phoneticPr fontId="2" type="noConversion"/>
  </si>
  <si>
    <t>内伤伤害+15%</t>
    <phoneticPr fontId="2" type="noConversion"/>
  </si>
  <si>
    <t>梯云纵</t>
    <phoneticPr fontId="2" type="noConversion"/>
  </si>
  <si>
    <t>乃是「武当七绝」之一，堪称轻功中的轻功，其注重身法的轻灵，不以步法多变来迷惑对手，要旨是身形轻巧，高低进退自如。</t>
    <phoneticPr fontId="2" type="noConversion"/>
  </si>
  <si>
    <t>破金鎚</t>
    <phoneticPr fontId="2" type="noConversion"/>
  </si>
  <si>
    <t>霹雳腿</t>
    <phoneticPr fontId="2" type="noConversion"/>
  </si>
  <si>
    <t>游身手</t>
    <phoneticPr fontId="2" type="noConversion"/>
  </si>
  <si>
    <t>不受内伤伤害</t>
    <phoneticPr fontId="2" type="noConversion"/>
  </si>
  <si>
    <t>两仪掌</t>
    <phoneticPr fontId="2" type="noConversion"/>
  </si>
  <si>
    <t>隔山打牛</t>
    <phoneticPr fontId="2" type="noConversion"/>
  </si>
  <si>
    <t>龙象般若功</t>
    <phoneticPr fontId="2" type="noConversion"/>
  </si>
  <si>
    <t>瑜伽密乘</t>
    <phoneticPr fontId="2" type="noConversion"/>
  </si>
  <si>
    <t>无上大力蹬</t>
    <phoneticPr fontId="2" type="noConversion"/>
  </si>
  <si>
    <t>外伤伤害 +5%，5s</t>
    <phoneticPr fontId="2" type="noConversion"/>
  </si>
  <si>
    <t>内伤伤害 +5%，5s</t>
    <phoneticPr fontId="2" type="noConversion"/>
  </si>
  <si>
    <t>摩诃迦罗附体</t>
    <phoneticPr fontId="2" type="noConversion"/>
  </si>
  <si>
    <t>外伤内伤防御+5%，5s</t>
    <phoneticPr fontId="2" type="noConversion"/>
  </si>
  <si>
    <t>波罗密掌</t>
    <phoneticPr fontId="2" type="noConversion"/>
  </si>
  <si>
    <t>神足通</t>
    <phoneticPr fontId="2" type="noConversion"/>
  </si>
  <si>
    <t>明王拙火定</t>
    <phoneticPr fontId="2" type="noConversion"/>
  </si>
  <si>
    <t>大日如来掌</t>
    <phoneticPr fontId="2" type="noConversion"/>
  </si>
  <si>
    <t>金刚诛灭手</t>
    <phoneticPr fontId="2" type="noConversion"/>
  </si>
  <si>
    <t>一阳指</t>
    <phoneticPr fontId="2" type="noConversion"/>
  </si>
  <si>
    <t>枯荣禅功</t>
    <phoneticPr fontId="2" type="noConversion"/>
  </si>
  <si>
    <t>段氏步法·进</t>
    <phoneticPr fontId="2" type="noConversion"/>
  </si>
  <si>
    <t>段氏步法·退</t>
    <phoneticPr fontId="2" type="noConversion"/>
  </si>
  <si>
    <t>段氏步法·守</t>
    <phoneticPr fontId="2" type="noConversion"/>
  </si>
  <si>
    <t>段氏心法</t>
    <phoneticPr fontId="2" type="noConversion"/>
  </si>
  <si>
    <t>段氏步法·攻</t>
    <phoneticPr fontId="2" type="noConversion"/>
  </si>
  <si>
    <t>少商剑</t>
    <phoneticPr fontId="2" type="noConversion"/>
  </si>
  <si>
    <t>剑路雄劲，颇有石破天惊，风雨大至之势</t>
    <phoneticPr fontId="2" type="noConversion"/>
  </si>
  <si>
    <t>中冲剑</t>
    <phoneticPr fontId="2" type="noConversion"/>
  </si>
  <si>
    <t>商阳剑</t>
    <phoneticPr fontId="2" type="noConversion"/>
  </si>
  <si>
    <t>关冲剑</t>
    <phoneticPr fontId="2" type="noConversion"/>
  </si>
  <si>
    <t>少冲剑</t>
    <phoneticPr fontId="2" type="noConversion"/>
  </si>
  <si>
    <t>少泽剑</t>
    <phoneticPr fontId="2" type="noConversion"/>
  </si>
  <si>
    <t>闪避+5%，命中+5%</t>
    <phoneticPr fontId="2" type="noConversion"/>
  </si>
  <si>
    <t>巧妙灵活，难以捉摸</t>
    <phoneticPr fontId="2" type="noConversion"/>
  </si>
  <si>
    <t>大开大阖，气势雄迈</t>
    <phoneticPr fontId="2" type="noConversion"/>
  </si>
  <si>
    <t>以拙滞古朴取胜</t>
    <phoneticPr fontId="2" type="noConversion"/>
  </si>
  <si>
    <t>轻灵迅速</t>
    <phoneticPr fontId="2" type="noConversion"/>
  </si>
  <si>
    <t>忽来忽去，变化精妙</t>
    <phoneticPr fontId="2" type="noConversion"/>
  </si>
  <si>
    <t>六脉神剑的根基招式</t>
    <phoneticPr fontId="2" type="noConversion"/>
  </si>
  <si>
    <t>大韦陀杵蹬</t>
    <phoneticPr fontId="2" type="noConversion"/>
  </si>
  <si>
    <t>五罗轻烟掌</t>
    <phoneticPr fontId="2" type="noConversion"/>
  </si>
  <si>
    <t>飘渺轻盈，招数精奇，拥有多重变势。</t>
    <phoneticPr fontId="2" type="noConversion"/>
  </si>
  <si>
    <t>六脉神剑经</t>
    <phoneticPr fontId="2" type="noConversion"/>
  </si>
  <si>
    <t>破绽发现+30%</t>
    <phoneticPr fontId="2" type="noConversion"/>
  </si>
  <si>
    <t>反击内伤伤害50，打断连招</t>
    <phoneticPr fontId="2" type="noConversion"/>
  </si>
  <si>
    <t>反击外伤伤害50，打断连招</t>
    <phoneticPr fontId="2" type="noConversion"/>
  </si>
  <si>
    <t>八门金锁·生</t>
    <phoneticPr fontId="2" type="noConversion"/>
  </si>
  <si>
    <t>外伤内伤伤害+5%，5s</t>
    <phoneticPr fontId="2" type="noConversion"/>
  </si>
  <si>
    <t>八门金锁·死</t>
    <phoneticPr fontId="2" type="noConversion"/>
  </si>
  <si>
    <t>八门金锁·惊</t>
    <phoneticPr fontId="2" type="noConversion"/>
  </si>
  <si>
    <t>八门金锁·伤</t>
    <phoneticPr fontId="2" type="noConversion"/>
  </si>
  <si>
    <t>大力鹰爪</t>
    <phoneticPr fontId="2" type="noConversion"/>
  </si>
  <si>
    <t>鹰爪擒拿</t>
    <phoneticPr fontId="2" type="noConversion"/>
  </si>
  <si>
    <t>雁行刀</t>
    <phoneticPr fontId="2" type="noConversion"/>
  </si>
  <si>
    <t>以掌为刀，掌风若大雁飞过所带劲风</t>
    <phoneticPr fontId="2" type="noConversion"/>
  </si>
  <si>
    <t>啄目争珠</t>
    <phoneticPr fontId="2" type="noConversion"/>
  </si>
  <si>
    <t>外伤伤害+5%，5s</t>
  </si>
  <si>
    <t>命中+5%，5s</t>
  </si>
  <si>
    <t>闪避+5%，5s</t>
  </si>
  <si>
    <t>命中率+5%，5s</t>
  </si>
  <si>
    <t>怒鹰锁喉</t>
    <phoneticPr fontId="2" type="noConversion"/>
  </si>
  <si>
    <t>恶鹰掏心</t>
    <phoneticPr fontId="2" type="noConversion"/>
  </si>
  <si>
    <t>雄鹰飞踢</t>
    <phoneticPr fontId="2" type="noConversion"/>
  </si>
  <si>
    <t>苍鹰踩兔</t>
    <phoneticPr fontId="2" type="noConversion"/>
  </si>
  <si>
    <t>苍鹰按爪</t>
    <phoneticPr fontId="2" type="noConversion"/>
  </si>
  <si>
    <t>老鹰盘旋</t>
    <phoneticPr fontId="2" type="noConversion"/>
  </si>
  <si>
    <t>雄鹰展翅</t>
    <phoneticPr fontId="2" type="noConversion"/>
  </si>
  <si>
    <t>老鹰攀枝</t>
    <phoneticPr fontId="2" type="noConversion"/>
  </si>
  <si>
    <t>内伤伤害+5%，5s</t>
  </si>
  <si>
    <t>雁行千里</t>
    <phoneticPr fontId="2" type="noConversion"/>
  </si>
  <si>
    <t>奋力远离敌方</t>
    <phoneticPr fontId="2" type="noConversion"/>
  </si>
  <si>
    <t>母鹰护雏</t>
    <phoneticPr fontId="2" type="noConversion"/>
  </si>
  <si>
    <t>金鹰上架</t>
    <phoneticPr fontId="2" type="noConversion"/>
  </si>
  <si>
    <t>鹰爪提坛功</t>
    <phoneticPr fontId="2" type="noConversion"/>
  </si>
  <si>
    <t>外伤伤害+10%</t>
    <phoneticPr fontId="2" type="noConversion"/>
  </si>
  <si>
    <t>鹰爪撕把功</t>
    <phoneticPr fontId="2" type="noConversion"/>
  </si>
  <si>
    <t>流血伤害+10/s</t>
    <phoneticPr fontId="2" type="noConversion"/>
  </si>
  <si>
    <t>飞鹰叼桩功</t>
    <phoneticPr fontId="2" type="noConversion"/>
  </si>
  <si>
    <t>本招式特效加倍</t>
    <phoneticPr fontId="2" type="noConversion"/>
  </si>
  <si>
    <t>流血持续 5s</t>
    <phoneticPr fontId="2" type="noConversion"/>
  </si>
  <si>
    <t>毒伤害+5，5s</t>
    <phoneticPr fontId="2" type="noConversion"/>
  </si>
  <si>
    <t>千蛛万毒手</t>
    <phoneticPr fontId="2" type="noConversion"/>
  </si>
  <si>
    <t>毒蟾砂</t>
    <phoneticPr fontId="2" type="noConversion"/>
  </si>
  <si>
    <t>八步赶蟾</t>
    <phoneticPr fontId="2" type="noConversion"/>
  </si>
  <si>
    <t>红蛛索网</t>
    <phoneticPr fontId="2" type="noConversion"/>
  </si>
  <si>
    <t>五毒神掌</t>
    <phoneticPr fontId="2" type="noConversion"/>
  </si>
  <si>
    <t>蝎子摆尾</t>
    <phoneticPr fontId="2" type="noConversion"/>
  </si>
  <si>
    <t>补天诀</t>
    <phoneticPr fontId="2" type="noConversion"/>
  </si>
  <si>
    <t>毒伤害+5</t>
    <phoneticPr fontId="2" type="noConversion"/>
  </si>
  <si>
    <t>毒王经</t>
    <phoneticPr fontId="2" type="noConversion"/>
  </si>
  <si>
    <t>妙手织天</t>
    <phoneticPr fontId="2" type="noConversion"/>
  </si>
  <si>
    <t>遁地百足仙</t>
    <phoneticPr fontId="2" type="noConversion"/>
  </si>
  <si>
    <t>蛤蟆纵跳</t>
    <phoneticPr fontId="2" type="noConversion"/>
  </si>
  <si>
    <t>天蛇翻</t>
    <phoneticPr fontId="2" type="noConversion"/>
  </si>
  <si>
    <t>天蛇换骨</t>
    <phoneticPr fontId="2" type="noConversion"/>
  </si>
  <si>
    <t>内外伤防御+5%，5s</t>
    <phoneticPr fontId="2" type="noConversion"/>
  </si>
  <si>
    <t>金刚灌顶</t>
    <phoneticPr fontId="2" type="noConversion"/>
  </si>
  <si>
    <t>易筋缩骨</t>
    <phoneticPr fontId="2" type="noConversion"/>
  </si>
  <si>
    <t>七轮感应</t>
    <phoneticPr fontId="2" type="noConversion"/>
  </si>
  <si>
    <t>三密合应手</t>
    <phoneticPr fontId="2" type="noConversion"/>
  </si>
  <si>
    <t>魔障护体</t>
    <phoneticPr fontId="2" type="noConversion"/>
  </si>
  <si>
    <t>能格挡特殊招式</t>
    <phoneticPr fontId="2" type="noConversion"/>
  </si>
  <si>
    <t>子午毒砂</t>
    <phoneticPr fontId="2" type="noConversion"/>
  </si>
  <si>
    <t>毒蒺藜</t>
    <phoneticPr fontId="2" type="noConversion"/>
  </si>
  <si>
    <t>流血伤害+5/s，5s</t>
    <phoneticPr fontId="2" type="noConversion"/>
  </si>
  <si>
    <t>命中后特效</t>
    <phoneticPr fontId="2" type="noConversion"/>
  </si>
  <si>
    <t>暴雨梨花针</t>
    <phoneticPr fontId="2" type="noConversion"/>
  </si>
  <si>
    <t>金蝉脱壳</t>
    <phoneticPr fontId="2" type="noConversion"/>
  </si>
  <si>
    <t>下次的攻击前摇+0.1s</t>
    <phoneticPr fontId="2" type="noConversion"/>
  </si>
  <si>
    <t>虚影重重，奥妙迷踪</t>
    <phoneticPr fontId="2" type="noConversion"/>
  </si>
  <si>
    <t>十二金钱镖</t>
    <phoneticPr fontId="2" type="noConversion"/>
  </si>
  <si>
    <t>对方所有破绽率+10%，10s</t>
    <phoneticPr fontId="2" type="noConversion"/>
  </si>
  <si>
    <t>对方所有破绽率+5%，10s</t>
    <phoneticPr fontId="2" type="noConversion"/>
  </si>
  <si>
    <t>对方所有破绽率+8%，10s</t>
    <phoneticPr fontId="2" type="noConversion"/>
  </si>
  <si>
    <t>对方所有破绽率+6%，10s</t>
    <phoneticPr fontId="2" type="noConversion"/>
  </si>
  <si>
    <t>流血持续 5s，对方所有破绽率+10%，5s</t>
    <phoneticPr fontId="2" type="noConversion"/>
  </si>
  <si>
    <t>流血持续 5s，对方闪避破绽+10%，5s</t>
    <phoneticPr fontId="2" type="noConversion"/>
  </si>
  <si>
    <t>天女散花</t>
    <phoneticPr fontId="2" type="noConversion"/>
  </si>
  <si>
    <t>命中+10%</t>
    <phoneticPr fontId="2" type="noConversion"/>
  </si>
  <si>
    <t>穿心透骨钉</t>
    <phoneticPr fontId="2" type="noConversion"/>
  </si>
  <si>
    <t>七煞袖箭</t>
    <phoneticPr fontId="2" type="noConversion"/>
  </si>
  <si>
    <t>乱飞蝗</t>
    <phoneticPr fontId="2" type="noConversion"/>
  </si>
  <si>
    <t>流血持续 5s，敌方命中-5%，格挡破绽+10%，5s</t>
    <phoneticPr fontId="2" type="noConversion"/>
  </si>
  <si>
    <t>下次的攻击前摇-0.1s</t>
    <phoneticPr fontId="2" type="noConversion"/>
  </si>
  <si>
    <t>傀儡替身</t>
    <phoneticPr fontId="2" type="noConversion"/>
  </si>
  <si>
    <t>傀儡分身</t>
    <phoneticPr fontId="2" type="noConversion"/>
  </si>
  <si>
    <t>魅影迷踪</t>
    <phoneticPr fontId="2" type="noConversion"/>
  </si>
  <si>
    <t>奇门遁甲</t>
    <phoneticPr fontId="2" type="noConversion"/>
  </si>
  <si>
    <t>冲天纵</t>
    <phoneticPr fontId="2" type="noConversion"/>
  </si>
  <si>
    <t>一跃而起，居高临下</t>
    <phoneticPr fontId="2" type="noConversion"/>
  </si>
  <si>
    <t>烟遁</t>
    <phoneticPr fontId="2" type="noConversion"/>
  </si>
  <si>
    <t>重重鬼影</t>
    <phoneticPr fontId="2" type="noConversion"/>
  </si>
  <si>
    <t>飞沙急退</t>
    <phoneticPr fontId="2" type="noConversion"/>
  </si>
  <si>
    <t>急退同时踢起沙土，掩护暗器</t>
    <phoneticPr fontId="2" type="noConversion"/>
  </si>
  <si>
    <t>命中+15%，1s</t>
    <phoneticPr fontId="2" type="noConversion"/>
  </si>
  <si>
    <t>血犼教</t>
  </si>
  <si>
    <t>万毒典</t>
    <phoneticPr fontId="2" type="noConversion"/>
  </si>
  <si>
    <t>千刃炼器术</t>
    <phoneticPr fontId="2" type="noConversion"/>
  </si>
  <si>
    <t>流血伤害+5</t>
    <phoneticPr fontId="2" type="noConversion"/>
  </si>
  <si>
    <t>对方所有破绽率+10%，5s</t>
    <phoneticPr fontId="2" type="noConversion"/>
  </si>
  <si>
    <t>黑尸诀</t>
    <phoneticPr fontId="2" type="noConversion"/>
  </si>
  <si>
    <t>血犼魔掌</t>
    <phoneticPr fontId="2" type="noConversion"/>
  </si>
  <si>
    <t>血池鬼爪</t>
    <phoneticPr fontId="2" type="noConversion"/>
  </si>
  <si>
    <t>血影腿</t>
    <phoneticPr fontId="2" type="noConversion"/>
  </si>
  <si>
    <t>大阴风腿</t>
    <phoneticPr fontId="2" type="noConversion"/>
  </si>
  <si>
    <t>黄泉指</t>
    <phoneticPr fontId="2" type="noConversion"/>
  </si>
  <si>
    <t>黄坟砂</t>
    <phoneticPr fontId="2" type="noConversion"/>
  </si>
  <si>
    <t>不能格挡，【尸血毒】爆发时，马上结算流血伤害</t>
    <phoneticPr fontId="2" type="noConversion"/>
  </si>
  <si>
    <t>对方所有流血持续时间+5s</t>
    <phoneticPr fontId="2" type="noConversion"/>
  </si>
  <si>
    <t>腐尸化血掌</t>
    <phoneticPr fontId="2" type="noConversion"/>
  </si>
  <si>
    <t>流血持续 5s，当前部位流血伤害马上结算</t>
    <phoneticPr fontId="2" type="noConversion"/>
  </si>
  <si>
    <t>飞尸大傩舞</t>
    <phoneticPr fontId="2" type="noConversion"/>
  </si>
  <si>
    <t>坟头遁</t>
    <phoneticPr fontId="2" type="noConversion"/>
  </si>
  <si>
    <t>流血持续时间+1s</t>
    <phoneticPr fontId="2" type="noConversion"/>
  </si>
  <si>
    <t>移魂大法</t>
    <phoneticPr fontId="2" type="noConversion"/>
  </si>
  <si>
    <t>血童不死身</t>
    <phoneticPr fontId="2" type="noConversion"/>
  </si>
  <si>
    <t>被攻击击中时，一半伤害化成流血伤害，持续5s</t>
    <phoneticPr fontId="2" type="noConversion"/>
  </si>
  <si>
    <t>天魔护体</t>
    <phoneticPr fontId="2" type="noConversion"/>
  </si>
  <si>
    <t>分筋错骨手</t>
    <phoneticPr fontId="2" type="noConversion"/>
  </si>
  <si>
    <t>鬼门关</t>
    <phoneticPr fontId="2" type="noConversion"/>
  </si>
  <si>
    <t>百鬼临身</t>
    <phoneticPr fontId="2" type="noConversion"/>
  </si>
  <si>
    <t>金砂掌</t>
    <phoneticPr fontId="2" type="noConversion"/>
  </si>
  <si>
    <t>开弓手</t>
    <phoneticPr fontId="2" type="noConversion"/>
  </si>
  <si>
    <t>铁担手</t>
    <phoneticPr fontId="2" type="noConversion"/>
  </si>
  <si>
    <t>霸王腿</t>
    <phoneticPr fontId="2" type="noConversion"/>
  </si>
  <si>
    <t>推山掌</t>
    <phoneticPr fontId="2" type="noConversion"/>
  </si>
  <si>
    <t>十三太保横练</t>
    <phoneticPr fontId="2" type="noConversion"/>
  </si>
  <si>
    <t>外伤伤害+10%，5s</t>
    <phoneticPr fontId="2" type="noConversion"/>
  </si>
  <si>
    <t>外伤防御+15%，5s</t>
    <phoneticPr fontId="2" type="noConversion"/>
  </si>
  <si>
    <t>霸王刃甲功</t>
    <phoneticPr fontId="2" type="noConversion"/>
  </si>
  <si>
    <t>铁鼎金身响</t>
    <phoneticPr fontId="2" type="noConversion"/>
  </si>
  <si>
    <t>裂碑掌</t>
    <phoneticPr fontId="2" type="noConversion"/>
  </si>
  <si>
    <t>以真实伤害反击对方100%内伤攻击，打断连招</t>
    <phoneticPr fontId="2" type="noConversion"/>
  </si>
  <si>
    <t>以真实伤害反击对方100%外伤攻击，打断连招</t>
    <phoneticPr fontId="2" type="noConversion"/>
  </si>
  <si>
    <t>铁桥步</t>
    <phoneticPr fontId="2" type="noConversion"/>
  </si>
  <si>
    <t>狮子奋迅</t>
    <phoneticPr fontId="2" type="noConversion"/>
  </si>
  <si>
    <t>震山步</t>
    <phoneticPr fontId="2" type="noConversion"/>
  </si>
  <si>
    <t>铜筋铁骨</t>
    <phoneticPr fontId="2" type="noConversion"/>
  </si>
  <si>
    <t>横江锁擒</t>
    <phoneticPr fontId="2" type="noConversion"/>
  </si>
  <si>
    <t>命中率+10%，5s，打断连招</t>
    <phoneticPr fontId="2" type="noConversion"/>
  </si>
  <si>
    <t>光明狮子劲</t>
    <phoneticPr fontId="2" type="noConversion"/>
  </si>
  <si>
    <t>金猊镇魔功</t>
    <phoneticPr fontId="2" type="noConversion"/>
  </si>
  <si>
    <t>50%外伤攻击化成内伤攻击</t>
    <phoneticPr fontId="2" type="noConversion"/>
  </si>
  <si>
    <t>铁胆衣</t>
    <phoneticPr fontId="2" type="noConversion"/>
  </si>
  <si>
    <t>弹反伤害+15%</t>
    <phoneticPr fontId="2" type="noConversion"/>
  </si>
  <si>
    <t>格挡能打断连招</t>
    <phoneticPr fontId="2" type="noConversion"/>
  </si>
  <si>
    <t>斗转星移</t>
    <phoneticPr fontId="2" type="noConversion"/>
  </si>
  <si>
    <t>反弹对方所有攻击，打断连招</t>
    <phoneticPr fontId="2" type="noConversion"/>
  </si>
  <si>
    <t>参合指</t>
    <phoneticPr fontId="2" type="noConversion"/>
  </si>
  <si>
    <t>使用对方对应顺序的招式，所有效果一样。其人之道不算重复</t>
    <phoneticPr fontId="2" type="noConversion"/>
  </si>
  <si>
    <t>借力返施</t>
    <phoneticPr fontId="2" type="noConversion"/>
  </si>
  <si>
    <t>卜卦</t>
    <phoneticPr fontId="2" type="noConversion"/>
  </si>
  <si>
    <t>复国</t>
    <phoneticPr fontId="2" type="noConversion"/>
  </si>
  <si>
    <t>命中+10%，闪避+10%</t>
    <phoneticPr fontId="2" type="noConversion"/>
  </si>
  <si>
    <t>非满点属性随机+1</t>
    <phoneticPr fontId="2" type="noConversion"/>
  </si>
  <si>
    <t>博学</t>
    <phoneticPr fontId="2" type="noConversion"/>
  </si>
  <si>
    <t>复制对方被动</t>
    <phoneticPr fontId="2" type="noConversion"/>
  </si>
  <si>
    <t>柳拂衣</t>
    <phoneticPr fontId="2" type="noConversion"/>
  </si>
  <si>
    <t>驰骋疆场</t>
    <phoneticPr fontId="2" type="noConversion"/>
  </si>
  <si>
    <t>流云袖</t>
    <phoneticPr fontId="2" type="noConversion"/>
  </si>
  <si>
    <t>重云掩日手</t>
    <phoneticPr fontId="2" type="noConversion"/>
  </si>
  <si>
    <t>蓄云欲雨掌</t>
    <phoneticPr fontId="2" type="noConversion"/>
  </si>
  <si>
    <t>其人之道·攻</t>
    <phoneticPr fontId="2" type="noConversion"/>
  </si>
  <si>
    <t>其人之道·守</t>
    <phoneticPr fontId="2" type="noConversion"/>
  </si>
  <si>
    <t>其人之道·闪</t>
    <phoneticPr fontId="2" type="noConversion"/>
  </si>
  <si>
    <t>毒伤</t>
    <phoneticPr fontId="2" type="noConversion"/>
  </si>
  <si>
    <t>削耐</t>
    <phoneticPr fontId="2" type="noConversion"/>
  </si>
  <si>
    <t>内伤</t>
    <phoneticPr fontId="2" type="noConversion"/>
  </si>
  <si>
    <t>防反</t>
    <phoneticPr fontId="2" type="noConversion"/>
  </si>
  <si>
    <t>闪反</t>
    <phoneticPr fontId="2" type="noConversion"/>
  </si>
  <si>
    <t>外伤伤害</t>
    <phoneticPr fontId="2" type="noConversion"/>
  </si>
  <si>
    <t>命中修正</t>
    <phoneticPr fontId="2" type="noConversion"/>
  </si>
  <si>
    <t>攻击前摇</t>
    <phoneticPr fontId="2" type="noConversion"/>
  </si>
  <si>
    <t>血天腐地炮</t>
    <phoneticPr fontId="2" type="noConversion"/>
  </si>
  <si>
    <t>连招命中后，内伤伤害+10，5s</t>
    <phoneticPr fontId="2" type="noConversion"/>
  </si>
  <si>
    <t>破挡修正</t>
    <phoneticPr fontId="2" type="noConversion"/>
  </si>
  <si>
    <t>内外伤伤害+5%，5s</t>
    <phoneticPr fontId="2" type="noConversion"/>
  </si>
  <si>
    <t>妨碍</t>
    <phoneticPr fontId="2" type="noConversion"/>
  </si>
  <si>
    <t>消耗</t>
    <phoneticPr fontId="2" type="noConversion"/>
  </si>
  <si>
    <t>速攻</t>
    <phoneticPr fontId="2" type="noConversion"/>
  </si>
  <si>
    <t>力量</t>
    <phoneticPr fontId="2" type="noConversion"/>
  </si>
  <si>
    <t>敏捷</t>
    <phoneticPr fontId="2" type="noConversion"/>
  </si>
  <si>
    <t>智力</t>
    <phoneticPr fontId="2" type="noConversion"/>
  </si>
  <si>
    <t>体魄</t>
    <phoneticPr fontId="2" type="noConversion"/>
  </si>
  <si>
    <t>内力</t>
    <phoneticPr fontId="2" type="noConversion"/>
  </si>
  <si>
    <t>·</t>
    <phoneticPr fontId="2" type="noConversion"/>
  </si>
  <si>
    <t>WP</t>
    <phoneticPr fontId="2" type="noConversion"/>
  </si>
  <si>
    <t>SL</t>
    <phoneticPr fontId="2" type="noConversion"/>
  </si>
  <si>
    <t>YZ</t>
    <phoneticPr fontId="2" type="noConversion"/>
  </si>
  <si>
    <t>WJ</t>
    <phoneticPr fontId="2" type="noConversion"/>
  </si>
  <si>
    <t>DL</t>
    <phoneticPr fontId="2" type="noConversion"/>
  </si>
  <si>
    <t>EM</t>
    <phoneticPr fontId="2" type="noConversion"/>
  </si>
  <si>
    <t>JG</t>
    <phoneticPr fontId="2" type="noConversion"/>
  </si>
  <si>
    <t>TM</t>
    <phoneticPr fontId="2" type="noConversion"/>
  </si>
  <si>
    <t>XH</t>
    <phoneticPr fontId="2" type="noConversion"/>
  </si>
  <si>
    <t>SX</t>
    <phoneticPr fontId="2" type="noConversion"/>
  </si>
  <si>
    <t>MR</t>
    <phoneticPr fontId="2" type="noConversion"/>
  </si>
  <si>
    <t>小僧</t>
    <phoneticPr fontId="2" type="noConversion"/>
  </si>
  <si>
    <t>武僧</t>
    <phoneticPr fontId="2" type="noConversion"/>
  </si>
  <si>
    <t>堂主</t>
    <phoneticPr fontId="2" type="noConversion"/>
  </si>
  <si>
    <t>方丈</t>
    <phoneticPr fontId="2" type="noConversion"/>
  </si>
  <si>
    <t>level</t>
    <phoneticPr fontId="2" type="noConversion"/>
  </si>
  <si>
    <t>rank</t>
    <phoneticPr fontId="2" type="noConversion"/>
  </si>
  <si>
    <t>person</t>
    <phoneticPr fontId="2" type="noConversion"/>
  </si>
  <si>
    <t>5万</t>
    <phoneticPr fontId="2" type="noConversion"/>
  </si>
  <si>
    <t>star</t>
    <phoneticPr fontId="2" type="noConversion"/>
  </si>
  <si>
    <t>防御　★</t>
    <phoneticPr fontId="2" type="noConversion"/>
  </si>
  <si>
    <t>外伤　★★★</t>
    <phoneticPr fontId="2" type="noConversion"/>
  </si>
  <si>
    <t>inf</t>
    <phoneticPr fontId="2" type="noConversion"/>
  </si>
  <si>
    <t>　　无量金刚宗乃传自古象雄王国的一支密教分支。金刚宗弟子众多，护法神功威力无比。以削弱敌方耐力为主。</t>
    <phoneticPr fontId="2" type="noConversion"/>
  </si>
  <si>
    <t>防反　★</t>
    <phoneticPr fontId="2" type="noConversion"/>
  </si>
  <si>
    <t>内伤　★★★</t>
    <phoneticPr fontId="2" type="noConversion"/>
  </si>
  <si>
    <t>闪反　★</t>
    <phoneticPr fontId="2" type="noConversion"/>
  </si>
  <si>
    <t>内伤　★★</t>
    <phoneticPr fontId="2" type="noConversion"/>
  </si>
  <si>
    <t>外伤　★★</t>
    <phoneticPr fontId="2" type="noConversion"/>
  </si>
  <si>
    <t>流血　★</t>
    <phoneticPr fontId="2" type="noConversion"/>
  </si>
  <si>
    <t>毒伤　★★★</t>
    <phoneticPr fontId="2" type="noConversion"/>
  </si>
  <si>
    <t>内伤　★</t>
    <phoneticPr fontId="2" type="noConversion"/>
  </si>
  <si>
    <t>破绽　★★★</t>
    <phoneticPr fontId="2" type="noConversion"/>
  </si>
  <si>
    <t>削耐　★</t>
    <phoneticPr fontId="2" type="noConversion"/>
  </si>
  <si>
    <t>削耐　★★★</t>
    <phoneticPr fontId="2" type="noConversion"/>
  </si>
  <si>
    <t>外伤　★</t>
    <phoneticPr fontId="2" type="noConversion"/>
  </si>
  <si>
    <t>闪避　★★</t>
    <phoneticPr fontId="2" type="noConversion"/>
  </si>
  <si>
    <t>毒伤　★</t>
    <phoneticPr fontId="2" type="noConversion"/>
  </si>
  <si>
    <t>破绽　★</t>
    <phoneticPr fontId="2" type="noConversion"/>
  </si>
  <si>
    <t>毒伤　★★</t>
    <phoneticPr fontId="2" type="noConversion"/>
  </si>
  <si>
    <t>流血　★★★</t>
    <phoneticPr fontId="2" type="noConversion"/>
  </si>
  <si>
    <t>防反　★★</t>
    <phoneticPr fontId="2" type="noConversion"/>
  </si>
  <si>
    <t>防御　★★★</t>
    <phoneticPr fontId="2" type="noConversion"/>
  </si>
  <si>
    <t>闪反　★★</t>
    <phoneticPr fontId="2" type="noConversion"/>
  </si>
  <si>
    <t>闪避　★</t>
    <phoneticPr fontId="2" type="noConversion"/>
  </si>
  <si>
    <t>教主</t>
    <phoneticPr fontId="2" type="noConversion"/>
  </si>
  <si>
    <t>掌门</t>
    <phoneticPr fontId="2" type="noConversion"/>
  </si>
  <si>
    <t>护法</t>
    <phoneticPr fontId="2" type="noConversion"/>
  </si>
  <si>
    <t>首座</t>
    <phoneticPr fontId="2" type="noConversion"/>
  </si>
  <si>
    <t>长老</t>
    <phoneticPr fontId="2" type="noConversion"/>
  </si>
  <si>
    <t>弟子</t>
    <phoneticPr fontId="2" type="noConversion"/>
  </si>
  <si>
    <t>教众</t>
    <phoneticPr fontId="2" type="noConversion"/>
  </si>
  <si>
    <t>宗主</t>
    <phoneticPr fontId="2" type="noConversion"/>
  </si>
  <si>
    <t>庄主</t>
    <phoneticPr fontId="2" type="noConversion"/>
  </si>
  <si>
    <t>家丁</t>
    <phoneticPr fontId="2" type="noConversion"/>
  </si>
  <si>
    <t>总管</t>
    <phoneticPr fontId="2" type="noConversion"/>
  </si>
  <si>
    <t>护卫</t>
    <phoneticPr fontId="2" type="noConversion"/>
  </si>
  <si>
    <t>王爷</t>
    <phoneticPr fontId="2" type="noConversion"/>
  </si>
  <si>
    <t>下仆</t>
    <phoneticPr fontId="2" type="noConversion"/>
  </si>
  <si>
    <t>家臣</t>
    <phoneticPr fontId="2" type="noConversion"/>
  </si>
  <si>
    <t>1 -</t>
    <phoneticPr fontId="2" type="noConversion"/>
  </si>
  <si>
    <t>2 ↑</t>
    <phoneticPr fontId="2" type="noConversion"/>
  </si>
  <si>
    <t>3 ↓</t>
    <phoneticPr fontId="2" type="noConversion"/>
  </si>
  <si>
    <t>4万</t>
    <phoneticPr fontId="2" type="noConversion"/>
  </si>
  <si>
    <t>4 -</t>
    <phoneticPr fontId="2" type="noConversion"/>
  </si>
  <si>
    <t>5 -</t>
    <phoneticPr fontId="2" type="noConversion"/>
  </si>
  <si>
    <t>6 -</t>
    <phoneticPr fontId="2" type="noConversion"/>
  </si>
  <si>
    <t>7 -</t>
    <phoneticPr fontId="2" type="noConversion"/>
  </si>
  <si>
    <t>8 -</t>
    <phoneticPr fontId="2" type="noConversion"/>
  </si>
  <si>
    <t>9 -</t>
    <phoneticPr fontId="2" type="noConversion"/>
  </si>
  <si>
    <t>10 -</t>
    <phoneticPr fontId="2" type="noConversion"/>
  </si>
  <si>
    <t>11 -</t>
    <phoneticPr fontId="2" type="noConversion"/>
  </si>
  <si>
    <t>1万</t>
    <phoneticPr fontId="2" type="noConversion"/>
  </si>
  <si>
    <t>2万</t>
    <phoneticPr fontId="2" type="noConversion"/>
  </si>
  <si>
    <t>3万</t>
    <phoneticPr fontId="2" type="noConversion"/>
  </si>
  <si>
    <t>sixData</t>
    <phoneticPr fontId="2" type="noConversion"/>
  </si>
  <si>
    <t>sixDataSum</t>
    <phoneticPr fontId="2" type="noConversion"/>
  </si>
  <si>
    <t>流血/s</t>
    <phoneticPr fontId="2" type="noConversion"/>
  </si>
  <si>
    <t>三阴蜈蚣爪</t>
    <phoneticPr fontId="2" type="noConversion"/>
  </si>
  <si>
    <t>血煞掌</t>
  </si>
  <si>
    <t>游魂诡步</t>
  </si>
  <si>
    <t>灵热护身掌</t>
  </si>
  <si>
    <t>血犼邪经</t>
  </si>
  <si>
    <t>太极始生两仪，两仪掌为太极基础掌法。</t>
    <phoneticPr fontId="2" type="noConversion"/>
  </si>
  <si>
    <t>武当少有的刚猛拳法</t>
    <phoneticPr fontId="2" type="noConversion"/>
  </si>
  <si>
    <t>格挡+10%，5s</t>
    <phoneticPr fontId="2" type="noConversion"/>
  </si>
  <si>
    <t>　　武当派武功博大精深，最重内功修养，创派祖师真君道法高深，太极神功名满天下，堪称天下内家功法第一。</t>
    <phoneticPr fontId="2" type="noConversion"/>
  </si>
  <si>
    <t>　　峨眉派派如其名——“天下秀”。峨眉武学刚柔并济，道释相融，定慧双修。</t>
    <phoneticPr fontId="2" type="noConversion"/>
  </si>
  <si>
    <t>　　相传万恶之徒聚首创立了血犼教。教中魔功乱人本性，教众嗜血好杀，菩萨亦难救。</t>
    <phoneticPr fontId="2" type="noConversion"/>
  </si>
  <si>
    <t>　　苗疆五毒教，自称五仙教，教义甚是极端，恩仇必报。教中炼毒、养蛊诸多奇诡之术，无不骇人听闻。</t>
    <phoneticPr fontId="2" type="noConversion"/>
  </si>
  <si>
    <t>　　鹰爪门招式以狠辣著称，爪如尖刀钢勾，轻易能分根挫骨。</t>
    <phoneticPr fontId="2" type="noConversion"/>
  </si>
  <si>
    <t>　　狮相门武学横行霸道，虽不重视内功修为，但横练硬气功独步天下，可开金断石、刀枪不入，堪称外家功法极致。</t>
    <phoneticPr fontId="2" type="noConversion"/>
  </si>
  <si>
    <t>　　少林寺乃武林中的泰山北斗。菩提达摩祖师以禅入武，在少林寺创出“七十二绝技”，无不冠绝天下。</t>
    <phoneticPr fontId="2" type="noConversion"/>
  </si>
  <si>
    <t>　　段氏一派出身中原武林世家，虽贵为皇族，家传武功却从来不曾荒废，反而愈加勤奋，皇室成员多为高手。</t>
    <phoneticPr fontId="2" type="noConversion"/>
  </si>
  <si>
    <t>　　慕容氏世代以复国为志，搜罗天下武功秘本，使得“以彼之道、还施彼身”之术更是名震天下。</t>
    <phoneticPr fontId="2" type="noConversion"/>
  </si>
  <si>
    <t>　　唐门，以「机关」，「毒药」和「暗器」雄踞蜀中的武林世家。门内弟子行事诡秘，行为飘忽。</t>
    <phoneticPr fontId="2" type="noConversion"/>
  </si>
  <si>
    <t>“两仪生四象，四象生八卦”，掌封八方，无处可躲</t>
    <phoneticPr fontId="2" type="noConversion"/>
  </si>
  <si>
    <t>透劲最高深招式，隔山打牛所言非虚</t>
    <phoneticPr fontId="2" type="noConversion"/>
  </si>
  <si>
    <t>爪到之处刚猛绝伦，抓树留痕，抓肉成洞</t>
    <phoneticPr fontId="2" type="noConversion"/>
  </si>
  <si>
    <t>蓄而发劲，劲透脏腑</t>
    <phoneticPr fontId="2" type="noConversion"/>
  </si>
  <si>
    <t>后发先至，攻守兼备</t>
    <phoneticPr fontId="2" type="noConversion"/>
  </si>
  <si>
    <t>拳劲所致，力破金钟</t>
    <phoneticPr fontId="2" type="noConversion"/>
  </si>
  <si>
    <t>武当少有的高腿招式</t>
    <phoneticPr fontId="2" type="noConversion"/>
  </si>
  <si>
    <t>刚猛有余，而内劲不足</t>
    <phoneticPr fontId="2" type="noConversion"/>
  </si>
  <si>
    <t>拳取十八罗汉之姿</t>
    <phoneticPr fontId="2" type="noConversion"/>
  </si>
  <si>
    <t>南少林护寺神功</t>
    <phoneticPr fontId="2" type="noConversion"/>
  </si>
  <si>
    <t>千手如来掌由太极拳演变</t>
    <phoneticPr fontId="2" type="noConversion"/>
  </si>
  <si>
    <t>威力巨大，伏虎降魔</t>
    <phoneticPr fontId="2" type="noConversion"/>
  </si>
  <si>
    <t>力之所到断根折骨</t>
    <phoneticPr fontId="2" type="noConversion"/>
  </si>
  <si>
    <t>少林绝技中最为迅速的擒拿</t>
    <phoneticPr fontId="2" type="noConversion"/>
  </si>
  <si>
    <t>爪法劲狠，碎石如捏豆腐</t>
    <phoneticPr fontId="2" type="noConversion"/>
  </si>
  <si>
    <t>一旦被擒，爪必入肉生根</t>
    <phoneticPr fontId="2" type="noConversion"/>
  </si>
  <si>
    <t>对方-5%闪避，2s</t>
    <phoneticPr fontId="2" type="noConversion"/>
  </si>
  <si>
    <t>以双眼为目标，中招者绝无还手之力</t>
    <phoneticPr fontId="2" type="noConversion"/>
  </si>
  <si>
    <t>对方-10%闪避，-50%命中，2s</t>
    <phoneticPr fontId="2" type="noConversion"/>
  </si>
  <si>
    <t>被锁喉者，气息立马混乱，再难招架</t>
    <phoneticPr fontId="2" type="noConversion"/>
  </si>
  <si>
    <t>掏心如探囊取物</t>
    <phoneticPr fontId="2" type="noConversion"/>
  </si>
  <si>
    <t>鹰爪门轻灵腿法</t>
    <phoneticPr fontId="2" type="noConversion"/>
  </si>
  <si>
    <t>鹰爪门凌厉腿法</t>
    <phoneticPr fontId="2" type="noConversion"/>
  </si>
  <si>
    <t>【青蛇毒】智力-1</t>
    <phoneticPr fontId="2" type="noConversion"/>
  </si>
  <si>
    <t>【蜈蚣毒】体魄-1</t>
    <phoneticPr fontId="2" type="noConversion"/>
  </si>
  <si>
    <t>【蝎子毒】力量-1</t>
    <phoneticPr fontId="2" type="noConversion"/>
  </si>
  <si>
    <t>【蜘蛛毒】敏捷-1</t>
    <phoneticPr fontId="2" type="noConversion"/>
  </si>
  <si>
    <t>不能格挡，不同部位不同效果：5s。①脚-10%闪避-10%格挡率；②手攻击慢0.2s速度，手格挡率-10%；③头：命中率-10%；④身：毒伤害+5，5s。【蜘蛛毒】</t>
    <phoneticPr fontId="2" type="noConversion"/>
  </si>
  <si>
    <t>五毒教盛名绝技，一掌毙命</t>
    <phoneticPr fontId="2" type="noConversion"/>
  </si>
  <si>
    <t>五毒教两大牵制神技之一</t>
    <phoneticPr fontId="2" type="noConversion"/>
  </si>
  <si>
    <t>爆发时积累达到20即能生效</t>
    <phoneticPr fontId="2" type="noConversion"/>
  </si>
  <si>
    <t>随机五毒之一</t>
    <phoneticPr fontId="2" type="noConversion"/>
  </si>
  <si>
    <t>双手相互应援，发挥连环不断之巧</t>
    <phoneticPr fontId="2" type="noConversion"/>
  </si>
  <si>
    <t>掌力忽吞忽吐，意在引开敌人内力而后功</t>
    <phoneticPr fontId="2" type="noConversion"/>
  </si>
  <si>
    <t>轻盈迅捷指法</t>
    <phoneticPr fontId="2" type="noConversion"/>
  </si>
  <si>
    <t>圆中有方，阴阳相成，暗藏天地阴阳、方圆动静四象</t>
    <phoneticPr fontId="2" type="noConversion"/>
  </si>
  <si>
    <t>迅速的直击掌法，掌力犹如长江大河，汹涌不绝</t>
    <phoneticPr fontId="2" type="noConversion"/>
  </si>
  <si>
    <t>源于佛门心法，佛光西来，普照天下众生</t>
    <phoneticPr fontId="2" type="noConversion"/>
  </si>
  <si>
    <t>灭绝腿法</t>
    <phoneticPr fontId="2" type="noConversion"/>
  </si>
  <si>
    <t>[暂无数据] - 003</t>
  </si>
  <si>
    <t>[暂无数据] - 004</t>
  </si>
  <si>
    <t>[暂无数据] - 005</t>
  </si>
  <si>
    <t>[暂无数据] - 006</t>
  </si>
  <si>
    <t>[暂无数据] - 010</t>
  </si>
  <si>
    <t>[暂无数据] - 011</t>
  </si>
  <si>
    <t>[暂无数据] - 012</t>
  </si>
  <si>
    <t>[暂无数据] - 013</t>
  </si>
  <si>
    <t>[暂无数据] - 014</t>
  </si>
  <si>
    <t>[暂无数据] - 015</t>
  </si>
  <si>
    <t>[暂无数据] - 016</t>
  </si>
  <si>
    <t>[暂无数据] - 017</t>
  </si>
  <si>
    <t>[暂无数据] - 018</t>
  </si>
  <si>
    <t>[暂无数据] - 019</t>
  </si>
  <si>
    <t>[暂无数据] - 020</t>
  </si>
  <si>
    <t>[暂无数据] - 021</t>
  </si>
  <si>
    <t>[暂无数据] - 022</t>
  </si>
  <si>
    <t>[暂无数据] - 023</t>
  </si>
  <si>
    <t>[暂无数据] - 024</t>
  </si>
  <si>
    <t>[暂无数据] - 026</t>
  </si>
  <si>
    <t>[暂无数据] - 027</t>
  </si>
  <si>
    <t>[暂无数据] - 028</t>
  </si>
  <si>
    <t>[暂无数据] - 029</t>
  </si>
  <si>
    <t>[暂无数据] - 030</t>
  </si>
  <si>
    <t>[暂无数据] - 031</t>
  </si>
  <si>
    <t>[暂无数据] - 032</t>
  </si>
  <si>
    <t>[暂无数据] - 033</t>
    <phoneticPr fontId="2" type="noConversion"/>
  </si>
  <si>
    <t>[暂无数据] - 036</t>
  </si>
  <si>
    <t>[暂无数据] - 037</t>
  </si>
  <si>
    <t>[暂无数据] - 038</t>
    <phoneticPr fontId="2" type="noConversion"/>
  </si>
  <si>
    <t>[暂无数据] - 039</t>
  </si>
  <si>
    <t>[暂无数据] - 040</t>
  </si>
  <si>
    <t>[暂无数据] - 041</t>
  </si>
  <si>
    <t>[暂无数据] - 042</t>
  </si>
  <si>
    <t>[暂无数据] - 043</t>
  </si>
  <si>
    <t>[暂无数据] - 045</t>
  </si>
  <si>
    <t>[暂无数据] - 046</t>
  </si>
  <si>
    <t>[暂无数据] - 047</t>
  </si>
  <si>
    <t>[暂无数据] - 048</t>
  </si>
  <si>
    <t>[暂无数据] - 049</t>
  </si>
  <si>
    <t>[暂无数据] - 051</t>
  </si>
  <si>
    <t>[暂无数据] - 052</t>
  </si>
  <si>
    <t>[暂无数据] - 053</t>
  </si>
  <si>
    <t>[暂无数据] - 055</t>
  </si>
  <si>
    <t>[暂无数据] - 056</t>
  </si>
  <si>
    <t>[暂无数据] - 057</t>
  </si>
  <si>
    <t>[暂无数据] - 059</t>
  </si>
  <si>
    <t>[暂无数据] - 060</t>
  </si>
  <si>
    <t>[暂无数据] - 061</t>
  </si>
  <si>
    <t>[暂无数据] - 062</t>
  </si>
  <si>
    <t>[暂无数据] - 064</t>
  </si>
  <si>
    <t>[暂无数据] - 065</t>
  </si>
  <si>
    <t>[暂无数据] - 066</t>
  </si>
  <si>
    <t>[暂无数据] - 067</t>
  </si>
  <si>
    <t>[暂无数据] - 068</t>
  </si>
  <si>
    <t>[暂无数据] - 070</t>
  </si>
  <si>
    <t>[暂无数据] - 071</t>
  </si>
  <si>
    <t>[暂无数据] - 072</t>
  </si>
  <si>
    <t>[暂无数据] - 073</t>
  </si>
  <si>
    <t>[暂无数据] - 074</t>
  </si>
  <si>
    <t>[暂无数据] - 077</t>
  </si>
  <si>
    <t>[暂无数据] - 079</t>
  </si>
  <si>
    <t>[暂无数据] - 080</t>
  </si>
  <si>
    <t>[暂无数据] - 081</t>
  </si>
  <si>
    <t>[暂无数据] - 082</t>
  </si>
  <si>
    <t>[暂无数据] - 084</t>
  </si>
  <si>
    <t>[暂无数据] - 085</t>
  </si>
  <si>
    <t>[暂无数据] - 086</t>
  </si>
  <si>
    <t>[暂无数据] - 087</t>
  </si>
  <si>
    <t>[暂无数据] - 088</t>
  </si>
  <si>
    <t>[暂无数据] - 089</t>
  </si>
  <si>
    <t>[暂无数据] - 091</t>
  </si>
  <si>
    <t>[暂无数据] - 092</t>
  </si>
  <si>
    <t>[暂无数据] - 093</t>
    <phoneticPr fontId="2" type="noConversion"/>
  </si>
  <si>
    <t>[暂无数据] - 094</t>
  </si>
  <si>
    <t>[暂无数据] - 095</t>
  </si>
  <si>
    <t>[暂无数据] - 097</t>
  </si>
  <si>
    <t>[暂无数据] - 098</t>
  </si>
  <si>
    <t>[暂无数据] - 099</t>
  </si>
  <si>
    <t>[暂无数据] - 100</t>
  </si>
  <si>
    <t>[暂无数据] - 102</t>
  </si>
  <si>
    <t>[暂无数据] - 103</t>
  </si>
  <si>
    <t>[暂无数据] - 104</t>
  </si>
  <si>
    <t>[暂无数据] - 106</t>
  </si>
  <si>
    <t>[暂无数据] - 107</t>
  </si>
  <si>
    <t>[暂无数据] - 108</t>
  </si>
  <si>
    <t>[暂无数据] - 110</t>
  </si>
  <si>
    <t>[暂无数据] - 111</t>
  </si>
  <si>
    <t>[暂无数据] - 112</t>
  </si>
  <si>
    <t>[暂无数据] - 114</t>
  </si>
  <si>
    <t>[暂无数据] - 115</t>
  </si>
  <si>
    <t>[暂无数据] - 116</t>
  </si>
  <si>
    <t>[暂无数据] - 118</t>
  </si>
  <si>
    <t>[暂无数据] - 119</t>
  </si>
  <si>
    <t>[暂无数据] - 120</t>
  </si>
  <si>
    <t>[暂无数据] - 121</t>
  </si>
  <si>
    <t>[暂无数据] - 123</t>
  </si>
  <si>
    <t>[暂无数据] - 124</t>
  </si>
  <si>
    <t>[暂无数据] - 125</t>
  </si>
  <si>
    <t>[暂无数据] - 127</t>
  </si>
  <si>
    <t>[暂无数据] - 128</t>
  </si>
  <si>
    <t>[暂无数据] - 129</t>
  </si>
  <si>
    <t>[暂无数据] - 131</t>
  </si>
  <si>
    <t>[暂无数据] - 132</t>
  </si>
  <si>
    <t>[暂无数据] - 133</t>
  </si>
  <si>
    <t>[暂无数据] - 135</t>
  </si>
  <si>
    <t>[暂无数据] - 136</t>
  </si>
  <si>
    <t>[暂无数据] - 137</t>
  </si>
  <si>
    <t>真气消耗</t>
    <phoneticPr fontId="2" type="noConversion"/>
  </si>
  <si>
    <t>削气</t>
    <phoneticPr fontId="2" type="noConversion"/>
  </si>
  <si>
    <t>封锁对方真气回复3s</t>
  </si>
  <si>
    <t>不能格挡，封锁对方真气回复3s。【蟾蜍毒】内力-1</t>
  </si>
  <si>
    <t>直接命中时，本次真气伤害变为30</t>
  </si>
  <si>
    <t>真气伤害 +5%，5s</t>
  </si>
  <si>
    <t>真气恢复20</t>
  </si>
  <si>
    <t>真气伤害+5%，5s</t>
  </si>
  <si>
    <t>真气回复+0.1/s</t>
  </si>
  <si>
    <t>自身真气回复+10%，对方真气回复-10%</t>
  </si>
  <si>
    <t>真气伤害+15%</t>
  </si>
  <si>
    <t>不能格挡，敌方命中-20%，格挡破绽+10%，5s</t>
    <phoneticPr fontId="2" type="noConversion"/>
  </si>
  <si>
    <t>以毒砂射向对方眼睛，阴险至极</t>
    <phoneticPr fontId="2" type="noConversion"/>
  </si>
  <si>
    <t>封锁对方真气回复3s</t>
    <phoneticPr fontId="2" type="noConversion"/>
  </si>
  <si>
    <t>反伤/反击无效，封锁对方真气回复3s</t>
    <phoneticPr fontId="2" type="noConversion"/>
  </si>
  <si>
    <t>门派成名绝技</t>
    <phoneticPr fontId="2" type="noConversion"/>
  </si>
  <si>
    <t>[对方连招效果]</t>
    <phoneticPr fontId="2" type="noConversion"/>
  </si>
  <si>
    <t>以其人之道，还以其人之身</t>
    <phoneticPr fontId="2" type="noConversion"/>
  </si>
  <si>
    <t>以长袖影藏攻击，亦能隐藏身形</t>
    <phoneticPr fontId="2" type="noConversion"/>
  </si>
  <si>
    <t>闪避+10%，2s</t>
    <phoneticPr fontId="2" type="noConversion"/>
  </si>
  <si>
    <t>[暂无数据] - 007</t>
    <phoneticPr fontId="2" type="noConversion"/>
  </si>
  <si>
    <t>指法古朴，遒劲雄强，凶狠果决</t>
    <phoneticPr fontId="2" type="noConversion"/>
  </si>
  <si>
    <t>拳法犹如金刚附体，威力惊人</t>
    <phoneticPr fontId="2" type="noConversion"/>
  </si>
  <si>
    <t>相传是如来为了普度众生，解劫除厄，传与凡人的一套绝世武学，神掌威力可敌天灾地祸，降妖除魔</t>
    <phoneticPr fontId="2" type="noConversion"/>
  </si>
  <si>
    <t>最多长度一一一一一一一一一一一一一一一一一一一一一一一一一一一一一一一一一一一一一一一一一一一一一一一一一一一一一一一一一一一一一一一一一一</t>
    <phoneticPr fontId="2" type="noConversion"/>
  </si>
  <si>
    <t>外伤伤害 -5%，内伤伤害+15%</t>
    <phoneticPr fontId="2" type="noConversion"/>
  </si>
  <si>
    <t>直接命中伤害的10%反震给对方，格挡时上升为30%</t>
    <phoneticPr fontId="2" type="noConversion"/>
  </si>
  <si>
    <t>金刚黑砂掌</t>
    <phoneticPr fontId="2" type="noConversion"/>
  </si>
  <si>
    <t>若命中，防御-20%，5s；若格挡，格挡率-20%，5s</t>
    <phoneticPr fontId="2" type="noConversion"/>
  </si>
  <si>
    <t>当前部位剩余流血伤害转化为【尸血毒】</t>
    <phoneticPr fontId="2" type="noConversion"/>
  </si>
  <si>
    <t>内伤防御+15%，5s</t>
    <phoneticPr fontId="2" type="noConversion"/>
  </si>
  <si>
    <t>完全格挡伤害</t>
    <phoneticPr fontId="2" type="noConversion"/>
  </si>
  <si>
    <t>以傀儡承受伤害，本体伺机反击</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</si>
</sst>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等线"/>
      <family val="2"/>
      <charset val="134"/>
      <scheme val="minor"/>
    </font>
    <font>
      <sz val="11"/>
      <color theme="1"/>
      <name val="等线"/>
      <family val="2"/>
      <charset val="134"/>
      <scheme val="minor"/>
    </font>
    <font>
      <sz val="9"/>
      <name val="等线"/>
      <family val="2"/>
      <charset val="134"/>
      <scheme val="minor"/>
    </font>
    <font>
      <sz val="11"/>
      <color theme="1"/>
      <name val="等线"/>
      <family val="3"/>
      <charset val="134"/>
      <scheme val="minor"/>
    </font>
  </fonts>
  <fills count="3">
    <fill>
      <patternFill patternType="none"/>
    </fill>
    <fill>
      <patternFill patternType="gray125"/>
    </fill>
    <fill>
      <patternFill patternType="solid">
        <fgColor theme="0" tint="-0.249977111117893"/>
        <bgColor indexed="64"/>
      </patternFill>
    </fill>
  </fills>
  <borders count="2">
    <border>
      <left/>
      <right/>
      <top/>
      <bottom/>
      <diagonal/>
    </border>
    <border>
      <left style="thin">
        <color indexed="64"/>
      </left>
      <right/>
      <top/>
      <bottom/>
      <diagonal/>
    </border>
  </borders>
  <cellStyleXfs count="2">
    <xf numFmtId="0" fontId="0" fillId="0" borderId="0">
      <alignment vertical="center"/>
    </xf>
    <xf numFmtId="0" fontId="1" fillId="0" borderId="0"/>
  </cellStyleXfs>
  <cellXfs count="40">
    <xf numFmtId="0" fontId="0" fillId="0" borderId="0" xfId="0">
      <alignment vertical="center"/>
    </xf>
    <xf numFmtId="0" fontId="1" fillId="0" borderId="0" xfId="1" applyAlignment="1">
      <alignment horizontal="center" vertical="center"/>
    </xf>
    <xf numFmtId="0" fontId="1" fillId="0" borderId="0" xfId="1" applyAlignment="1">
      <alignment horizontal="center" vertical="center"/>
    </xf>
    <xf numFmtId="0" fontId="1" fillId="0" borderId="1" xfId="1" applyBorder="1" applyAlignment="1">
      <alignment horizontal="center" vertical="center"/>
    </xf>
    <xf numFmtId="0" fontId="1" fillId="0" borderId="0" xfId="1" applyAlignment="1">
      <alignment horizontal="left" vertical="center"/>
    </xf>
    <xf numFmtId="0" fontId="0" fillId="0" borderId="0" xfId="0" applyAlignment="1">
      <alignment horizontal="center" vertical="center"/>
    </xf>
    <xf numFmtId="0" fontId="1" fillId="0" borderId="1" xfId="1" applyFill="1" applyBorder="1" applyAlignment="1">
      <alignment horizontal="center" vertical="center"/>
    </xf>
    <xf numFmtId="0" fontId="0" fillId="0" borderId="1" xfId="0" applyBorder="1">
      <alignment vertical="center"/>
    </xf>
    <xf numFmtId="0" fontId="1" fillId="0" borderId="0" xfId="1" applyFill="1" applyBorder="1" applyAlignment="1">
      <alignment horizontal="center" vertical="center"/>
    </xf>
    <xf numFmtId="0" fontId="0" fillId="0" borderId="0" xfId="0" applyBorder="1">
      <alignment vertical="center"/>
    </xf>
    <xf numFmtId="0" fontId="0" fillId="0" borderId="1" xfId="0" applyBorder="1" applyAlignment="1">
      <alignment horizontal="center" vertical="center"/>
    </xf>
    <xf numFmtId="0" fontId="1" fillId="0" borderId="0" xfId="1" applyAlignment="1">
      <alignment horizontal="center" vertical="center" wrapText="1"/>
    </xf>
    <xf numFmtId="0" fontId="3" fillId="0" borderId="0" xfId="1" applyFont="1" applyAlignment="1">
      <alignment horizontal="center" vertical="center" wrapText="1"/>
    </xf>
    <xf numFmtId="0" fontId="3" fillId="0" borderId="1" xfId="1" applyFont="1" applyBorder="1" applyAlignment="1">
      <alignment horizontal="center" vertical="center" wrapText="1"/>
    </xf>
    <xf numFmtId="49" fontId="1" fillId="0" borderId="0" xfId="1" applyNumberFormat="1" applyAlignment="1">
      <alignment horizontal="left" vertical="center"/>
    </xf>
    <xf numFmtId="49" fontId="1" fillId="0" borderId="0" xfId="1" applyNumberFormat="1" applyAlignment="1">
      <alignment horizontal="left" vertical="center" wrapText="1"/>
    </xf>
    <xf numFmtId="0" fontId="1" fillId="0" borderId="1" xfId="1" applyFill="1" applyBorder="1" applyAlignment="1">
      <alignment horizontal="center" vertical="center"/>
    </xf>
    <xf numFmtId="0" fontId="1" fillId="0" borderId="0" xfId="1" applyFill="1" applyBorder="1" applyAlignment="1">
      <alignment horizontal="center" vertical="center" wrapText="1"/>
    </xf>
    <xf numFmtId="0" fontId="0" fillId="0" borderId="0" xfId="0" applyAlignment="1">
      <alignment vertical="center" wrapText="1"/>
    </xf>
    <xf numFmtId="0" fontId="1" fillId="0" borderId="0" xfId="1" applyFill="1" applyBorder="1" applyAlignment="1">
      <alignment horizontal="left" vertical="center" wrapText="1"/>
    </xf>
    <xf numFmtId="49" fontId="0" fillId="0" borderId="0" xfId="0" applyNumberFormat="1" applyBorder="1" applyAlignment="1">
      <alignment horizontal="left" vertical="center" wrapText="1"/>
    </xf>
    <xf numFmtId="0" fontId="0" fillId="0" borderId="0" xfId="0" applyBorder="1" applyAlignment="1">
      <alignment horizontal="left" vertical="center" wrapText="1"/>
    </xf>
    <xf numFmtId="9" fontId="0" fillId="0" borderId="0" xfId="0" applyNumberFormat="1" applyBorder="1" applyAlignment="1">
      <alignment horizontal="left" vertical="center" wrapText="1"/>
    </xf>
    <xf numFmtId="0" fontId="0" fillId="0" borderId="0" xfId="0" applyFill="1" applyBorder="1">
      <alignment vertical="center"/>
    </xf>
    <xf numFmtId="49" fontId="0" fillId="0" borderId="1" xfId="0" applyNumberFormat="1" applyBorder="1" applyAlignment="1">
      <alignment horizontal="left" vertical="center"/>
    </xf>
    <xf numFmtId="0" fontId="0" fillId="0" borderId="1" xfId="0" applyBorder="1" applyAlignment="1">
      <alignment horizontal="left" vertical="center"/>
    </xf>
    <xf numFmtId="0" fontId="0" fillId="0" borderId="0" xfId="0" applyAlignment="1">
      <alignment horizontal="left" vertical="center" wrapText="1"/>
    </xf>
    <xf numFmtId="0" fontId="0" fillId="0" borderId="0" xfId="0" applyFill="1">
      <alignment vertical="center"/>
    </xf>
    <xf numFmtId="0" fontId="0" fillId="2" borderId="0" xfId="0" applyFill="1">
      <alignment vertical="center"/>
    </xf>
    <xf numFmtId="0" fontId="3" fillId="0" borderId="0" xfId="0" applyFont="1">
      <alignment vertical="center"/>
    </xf>
    <xf numFmtId="9" fontId="1" fillId="0" borderId="0" xfId="1" applyNumberFormat="1" applyAlignment="1">
      <alignment horizontal="center" vertical="center"/>
    </xf>
    <xf numFmtId="9" fontId="0" fillId="0" borderId="1" xfId="0" applyNumberFormat="1" applyBorder="1" applyAlignment="1">
      <alignment horizontal="right" vertical="center"/>
    </xf>
    <xf numFmtId="9" fontId="0" fillId="0" borderId="0" xfId="0" applyNumberFormat="1" applyBorder="1" applyAlignment="1">
      <alignment horizontal="right" vertical="center"/>
    </xf>
    <xf numFmtId="0" fontId="1" fillId="0" borderId="0" xfId="1" applyAlignment="1">
      <alignment horizontal="center" vertical="center" wrapText="1"/>
    </xf>
    <xf numFmtId="9" fontId="1" fillId="0" borderId="0" xfId="1" applyNumberFormat="1" applyAlignment="1">
      <alignment horizontal="center" vertical="center" wrapText="1"/>
    </xf>
    <xf numFmtId="0" fontId="1" fillId="0" borderId="0" xfId="1" applyAlignment="1">
      <alignment horizontal="center" vertical="center" wrapText="1"/>
    </xf>
    <xf numFmtId="0" fontId="1" fillId="0" borderId="1" xfId="1" applyBorder="1" applyAlignment="1">
      <alignment horizontal="center" vertical="center" wrapText="1"/>
    </xf>
    <xf numFmtId="49" fontId="1" fillId="0" borderId="0" xfId="1" applyNumberFormat="1" applyAlignment="1">
      <alignment horizontal="center" vertical="center" wrapText="1"/>
    </xf>
    <xf numFmtId="0" fontId="1" fillId="0" borderId="1" xfId="1" applyFill="1" applyBorder="1" applyAlignment="1">
      <alignment horizontal="center" vertical="center"/>
    </xf>
    <xf numFmtId="0" fontId="1" fillId="0" borderId="0" xfId="1" applyFill="1" applyBorder="1" applyAlignment="1">
      <alignment horizontal="center" vertical="center"/>
    </xf>
  </cellXfs>
  <cellStyles count="2">
    <cellStyle name="常规" xfId="0" builtinId="0"/>
    <cellStyle name="常规 2" xfId="1" xr:uid="{18E8D347-E140-473B-8546-ACB24B7272C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0</xdr:row>
          <xdr:rowOff>57150</xdr:rowOff>
        </xdr:from>
        <xdr:to>
          <xdr:col>1</xdr:col>
          <xdr:colOff>638175</xdr:colOff>
          <xdr:row>0</xdr:row>
          <xdr:rowOff>438150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EE391-4514-4BBB-B5AB-BFD81F1FD685}">
  <sheetPr codeName="Sheet2"/>
  <dimension ref="A1:W96"/>
  <sheetViews>
    <sheetView tabSelected="1" zoomScaleNormal="100" workbookViewId="0">
      <pane xSplit="2" ySplit="2" topLeftCell="J27" activePane="bottomRight" state="frozen"/>
      <selection pane="topRight" activeCell="C1" sqref="C1"/>
      <selection pane="bottomLeft" activeCell="A3" sqref="A3"/>
      <selection pane="bottomRight" activeCell="U39" sqref="U39"/>
    </sheetView>
  </sheetViews>
  <sheetFormatPr defaultColWidth="9.125" defaultRowHeight="14.25" x14ac:dyDescent="0.2"/>
  <cols>
    <col min="1" max="1" width="14.75" style="1" customWidth="1"/>
    <col min="2" max="2" width="13" style="1" bestFit="1" customWidth="1"/>
    <col min="3" max="5" width="4.25" style="1" customWidth="1"/>
    <col min="6" max="6" width="3.5" style="3" customWidth="1"/>
    <col min="7" max="9" width="3.5" style="1" customWidth="1"/>
    <col min="10" max="10" width="6.25" style="3" customWidth="1"/>
    <col min="11" max="11" width="6.25" style="1" customWidth="1"/>
    <col min="12" max="13" width="6.25" style="30" customWidth="1"/>
    <col min="14" max="18" width="6.25" style="1" customWidth="1"/>
    <col min="19" max="20" width="6.25" style="2" customWidth="1"/>
    <col min="21" max="21" width="52.125" style="14" customWidth="1"/>
    <col min="22" max="22" width="31.75" style="4" bestFit="1" customWidth="1"/>
    <col min="23" max="23" width="44.375" style="4" customWidth="1"/>
    <col min="24" max="31" width="9.125" style="1"/>
    <col min="32" max="32" width="9.5" style="1" customWidth="1"/>
    <col min="33" max="33" width="5" style="1" customWidth="1"/>
    <col min="34" max="16384" width="9.125" style="1"/>
  </cols>
  <sheetData>
    <row r="1" spans="1:23" s="11" customFormat="1" ht="14.25" customHeight="1" x14ac:dyDescent="0.2">
      <c r="A1" s="11" t="s">
        <v>0</v>
      </c>
      <c r="B1" s="11" t="s">
        <v>1</v>
      </c>
      <c r="C1" s="35" t="s">
        <v>9</v>
      </c>
      <c r="D1" s="35"/>
      <c r="E1" s="35"/>
      <c r="F1" s="36" t="s">
        <v>2</v>
      </c>
      <c r="G1" s="35"/>
      <c r="H1" s="35"/>
      <c r="I1" s="35"/>
      <c r="J1" s="36" t="s">
        <v>348</v>
      </c>
      <c r="K1" s="35" t="s">
        <v>3</v>
      </c>
      <c r="L1" s="34" t="s">
        <v>349</v>
      </c>
      <c r="M1" s="34" t="s">
        <v>353</v>
      </c>
      <c r="N1" s="35" t="s">
        <v>350</v>
      </c>
      <c r="O1" s="35" t="s">
        <v>4</v>
      </c>
      <c r="P1" s="35" t="s">
        <v>5</v>
      </c>
      <c r="Q1" s="35" t="s">
        <v>607</v>
      </c>
      <c r="R1" s="35" t="s">
        <v>608</v>
      </c>
      <c r="S1" s="35" t="s">
        <v>441</v>
      </c>
      <c r="T1" s="35" t="s">
        <v>52</v>
      </c>
      <c r="U1" s="37" t="s">
        <v>243</v>
      </c>
      <c r="V1" s="35" t="s">
        <v>13</v>
      </c>
      <c r="W1" s="4" t="s">
        <v>631</v>
      </c>
    </row>
    <row r="2" spans="1:23" s="11" customFormat="1" ht="28.5" x14ac:dyDescent="0.2">
      <c r="C2" s="11" t="s">
        <v>46</v>
      </c>
      <c r="D2" s="12" t="s">
        <v>6</v>
      </c>
      <c r="E2" s="12" t="s">
        <v>7</v>
      </c>
      <c r="F2" s="13" t="s">
        <v>8</v>
      </c>
      <c r="G2" s="11" t="s">
        <v>11</v>
      </c>
      <c r="H2" s="11" t="s">
        <v>10</v>
      </c>
      <c r="I2" s="11" t="s">
        <v>7</v>
      </c>
      <c r="J2" s="36"/>
      <c r="K2" s="35"/>
      <c r="L2" s="34"/>
      <c r="M2" s="34"/>
      <c r="N2" s="35"/>
      <c r="O2" s="35"/>
      <c r="P2" s="35"/>
      <c r="Q2" s="35"/>
      <c r="R2" s="35"/>
      <c r="S2" s="35"/>
      <c r="T2" s="35"/>
      <c r="U2" s="37"/>
      <c r="V2" s="35"/>
      <c r="W2" s="33" t="s">
        <v>33</v>
      </c>
    </row>
    <row r="3" spans="1:23" x14ac:dyDescent="0.2">
      <c r="A3" s="1" t="s">
        <v>25</v>
      </c>
      <c r="B3" s="1" t="s">
        <v>12</v>
      </c>
      <c r="D3" s="1">
        <v>1</v>
      </c>
      <c r="F3" s="3">
        <v>1</v>
      </c>
      <c r="G3" s="1">
        <v>1</v>
      </c>
      <c r="H3" s="1">
        <v>1</v>
      </c>
      <c r="I3" s="1">
        <v>1</v>
      </c>
      <c r="K3" s="1">
        <v>90</v>
      </c>
      <c r="L3" s="30">
        <v>0.1</v>
      </c>
      <c r="N3" s="1">
        <v>0.3</v>
      </c>
      <c r="O3" s="1">
        <v>1</v>
      </c>
      <c r="P3" s="1">
        <v>0.4</v>
      </c>
      <c r="Q3" s="1">
        <v>10</v>
      </c>
      <c r="V3" s="4" t="s">
        <v>124</v>
      </c>
      <c r="W3" s="4" t="s">
        <v>460</v>
      </c>
    </row>
    <row r="4" spans="1:23" s="2" customFormat="1" x14ac:dyDescent="0.2">
      <c r="B4" s="2" t="s">
        <v>142</v>
      </c>
      <c r="D4" s="2">
        <v>1</v>
      </c>
      <c r="F4" s="3">
        <v>1</v>
      </c>
      <c r="G4" s="2">
        <v>1</v>
      </c>
      <c r="H4" s="2">
        <v>1</v>
      </c>
      <c r="I4" s="2">
        <v>1</v>
      </c>
      <c r="J4" s="3">
        <v>70</v>
      </c>
      <c r="K4" s="2">
        <v>70</v>
      </c>
      <c r="L4" s="30">
        <v>0.05</v>
      </c>
      <c r="M4" s="30"/>
      <c r="N4" s="2">
        <v>0.4</v>
      </c>
      <c r="O4" s="2">
        <v>1</v>
      </c>
      <c r="P4" s="2">
        <v>0.4</v>
      </c>
      <c r="Q4" s="2">
        <v>10</v>
      </c>
      <c r="U4" s="14"/>
      <c r="V4" s="4" t="s">
        <v>91</v>
      </c>
      <c r="W4" s="4" t="s">
        <v>447</v>
      </c>
    </row>
    <row r="5" spans="1:23" s="2" customFormat="1" x14ac:dyDescent="0.2">
      <c r="B5" s="2" t="s">
        <v>121</v>
      </c>
      <c r="D5" s="2">
        <v>1</v>
      </c>
      <c r="F5" s="3">
        <v>1</v>
      </c>
      <c r="G5" s="2">
        <v>1</v>
      </c>
      <c r="H5" s="2">
        <v>1</v>
      </c>
      <c r="I5" s="2">
        <v>1</v>
      </c>
      <c r="J5" s="3">
        <v>100</v>
      </c>
      <c r="K5" s="2">
        <v>20</v>
      </c>
      <c r="L5" s="30"/>
      <c r="M5" s="30">
        <v>0.1</v>
      </c>
      <c r="N5" s="2">
        <v>0.4</v>
      </c>
      <c r="O5" s="2">
        <v>1</v>
      </c>
      <c r="P5" s="2">
        <v>0.3</v>
      </c>
      <c r="Q5" s="2">
        <v>10</v>
      </c>
      <c r="U5" s="14"/>
      <c r="V5" s="4" t="s">
        <v>95</v>
      </c>
      <c r="W5" s="4" t="s">
        <v>448</v>
      </c>
    </row>
    <row r="6" spans="1:23" s="2" customFormat="1" x14ac:dyDescent="0.2">
      <c r="B6" s="2" t="s">
        <v>126</v>
      </c>
      <c r="D6" s="2">
        <v>1</v>
      </c>
      <c r="F6" s="3">
        <v>1</v>
      </c>
      <c r="G6" s="2">
        <v>1</v>
      </c>
      <c r="H6" s="2">
        <v>1</v>
      </c>
      <c r="I6" s="2">
        <v>1</v>
      </c>
      <c r="J6" s="3"/>
      <c r="K6" s="2">
        <v>150</v>
      </c>
      <c r="L6" s="30">
        <v>-0.05</v>
      </c>
      <c r="M6" s="30">
        <v>0.1</v>
      </c>
      <c r="N6" s="2">
        <v>0.6</v>
      </c>
      <c r="O6" s="2">
        <v>1</v>
      </c>
      <c r="P6" s="2">
        <v>0.4</v>
      </c>
      <c r="Q6" s="2">
        <v>17</v>
      </c>
      <c r="U6" s="14"/>
      <c r="V6" s="4" t="s">
        <v>95</v>
      </c>
      <c r="W6" s="4" t="s">
        <v>463</v>
      </c>
    </row>
    <row r="7" spans="1:23" s="2" customFormat="1" x14ac:dyDescent="0.2">
      <c r="B7" s="2" t="s">
        <v>127</v>
      </c>
      <c r="D7" s="2">
        <v>1</v>
      </c>
      <c r="F7" s="3">
        <v>1</v>
      </c>
      <c r="G7" s="2">
        <v>1</v>
      </c>
      <c r="H7" s="2">
        <v>1</v>
      </c>
      <c r="I7" s="2">
        <v>1</v>
      </c>
      <c r="J7" s="3">
        <v>50</v>
      </c>
      <c r="K7" s="2">
        <v>100</v>
      </c>
      <c r="L7" s="30"/>
      <c r="M7" s="30"/>
      <c r="N7" s="2">
        <v>0.3</v>
      </c>
      <c r="O7" s="2">
        <v>1</v>
      </c>
      <c r="P7" s="2">
        <v>0.4</v>
      </c>
      <c r="Q7" s="2">
        <v>10</v>
      </c>
      <c r="U7" s="14"/>
      <c r="V7" s="4" t="s">
        <v>449</v>
      </c>
      <c r="W7" s="4" t="s">
        <v>464</v>
      </c>
    </row>
    <row r="8" spans="1:23" s="2" customFormat="1" x14ac:dyDescent="0.2">
      <c r="B8" s="2" t="s">
        <v>138</v>
      </c>
      <c r="D8" s="2">
        <v>1</v>
      </c>
      <c r="F8" s="3"/>
      <c r="G8" s="2">
        <v>1</v>
      </c>
      <c r="H8" s="2">
        <v>1</v>
      </c>
      <c r="J8" s="3">
        <v>80</v>
      </c>
      <c r="K8" s="2">
        <v>120</v>
      </c>
      <c r="L8" s="30">
        <v>-0.05</v>
      </c>
      <c r="M8" s="30"/>
      <c r="N8" s="2">
        <v>0.6</v>
      </c>
      <c r="O8" s="2">
        <v>1</v>
      </c>
      <c r="P8" s="2">
        <v>0.6</v>
      </c>
      <c r="Q8" s="2">
        <v>20</v>
      </c>
      <c r="U8" s="14"/>
      <c r="V8" s="4" t="s">
        <v>95</v>
      </c>
      <c r="W8" s="4" t="s">
        <v>465</v>
      </c>
    </row>
    <row r="9" spans="1:23" s="2" customFormat="1" x14ac:dyDescent="0.2">
      <c r="B9" s="2" t="s">
        <v>139</v>
      </c>
      <c r="E9" s="2">
        <v>1</v>
      </c>
      <c r="F9" s="3">
        <v>1</v>
      </c>
      <c r="G9" s="2">
        <v>1</v>
      </c>
      <c r="H9" s="2">
        <v>1</v>
      </c>
      <c r="I9" s="2">
        <v>1</v>
      </c>
      <c r="J9" s="3">
        <v>110</v>
      </c>
      <c r="K9" s="2">
        <v>60</v>
      </c>
      <c r="L9" s="30">
        <v>-0.05</v>
      </c>
      <c r="M9" s="30"/>
      <c r="N9" s="2">
        <v>0.5</v>
      </c>
      <c r="O9" s="2">
        <v>1</v>
      </c>
      <c r="P9" s="2">
        <v>0.4</v>
      </c>
      <c r="Q9" s="2">
        <v>20</v>
      </c>
      <c r="U9" s="14"/>
      <c r="V9" s="4" t="s">
        <v>95</v>
      </c>
      <c r="W9" s="4" t="s">
        <v>466</v>
      </c>
    </row>
    <row r="10" spans="1:23" s="2" customFormat="1" x14ac:dyDescent="0.2">
      <c r="B10" s="2" t="s">
        <v>143</v>
      </c>
      <c r="D10" s="2">
        <v>1</v>
      </c>
      <c r="F10" s="3">
        <v>1</v>
      </c>
      <c r="G10" s="2">
        <v>1</v>
      </c>
      <c r="H10" s="2">
        <v>1</v>
      </c>
      <c r="I10" s="2">
        <v>1</v>
      </c>
      <c r="J10" s="3"/>
      <c r="K10" s="2">
        <v>180</v>
      </c>
      <c r="L10" s="30">
        <v>-0.1</v>
      </c>
      <c r="M10" s="30">
        <v>1</v>
      </c>
      <c r="N10" s="2">
        <v>0.7</v>
      </c>
      <c r="O10" s="2">
        <v>1</v>
      </c>
      <c r="P10" s="2">
        <v>0.6</v>
      </c>
      <c r="Q10" s="2">
        <v>20</v>
      </c>
      <c r="U10" s="14"/>
      <c r="V10" s="4" t="s">
        <v>95</v>
      </c>
      <c r="W10" s="4" t="s">
        <v>461</v>
      </c>
    </row>
    <row r="11" spans="1:23" s="2" customFormat="1" x14ac:dyDescent="0.2">
      <c r="F11" s="3"/>
      <c r="J11" s="3"/>
      <c r="L11" s="30"/>
      <c r="M11" s="30"/>
      <c r="U11" s="14"/>
      <c r="V11" s="4"/>
      <c r="W11" s="4"/>
    </row>
    <row r="12" spans="1:23" x14ac:dyDescent="0.2">
      <c r="A12" s="1" t="s">
        <v>26</v>
      </c>
      <c r="B12" s="1" t="s">
        <v>58</v>
      </c>
      <c r="D12" s="1">
        <v>1</v>
      </c>
      <c r="F12" s="3">
        <v>1</v>
      </c>
      <c r="G12" s="1">
        <v>1</v>
      </c>
      <c r="H12" s="1">
        <v>1</v>
      </c>
      <c r="I12" s="1">
        <v>1</v>
      </c>
      <c r="J12" s="3">
        <v>140</v>
      </c>
      <c r="L12" s="30">
        <v>0.05</v>
      </c>
      <c r="N12" s="1">
        <v>0.3</v>
      </c>
      <c r="O12" s="1">
        <v>1</v>
      </c>
      <c r="P12" s="1">
        <v>0.4</v>
      </c>
      <c r="Q12" s="1">
        <v>15</v>
      </c>
      <c r="V12" s="4" t="s">
        <v>94</v>
      </c>
      <c r="W12" s="4" t="s">
        <v>462</v>
      </c>
    </row>
    <row r="13" spans="1:23" s="2" customFormat="1" x14ac:dyDescent="0.2">
      <c r="B13" s="2" t="s">
        <v>60</v>
      </c>
      <c r="D13" s="2">
        <v>1</v>
      </c>
      <c r="F13" s="3">
        <v>1</v>
      </c>
      <c r="G13" s="2">
        <v>1</v>
      </c>
      <c r="H13" s="2">
        <v>1</v>
      </c>
      <c r="I13" s="2">
        <v>1</v>
      </c>
      <c r="J13" s="3">
        <v>100</v>
      </c>
      <c r="K13" s="2">
        <v>30</v>
      </c>
      <c r="L13" s="30"/>
      <c r="M13" s="30"/>
      <c r="N13" s="2">
        <v>0.4</v>
      </c>
      <c r="O13" s="2">
        <v>1</v>
      </c>
      <c r="P13" s="2">
        <v>0.3</v>
      </c>
      <c r="Q13" s="2">
        <v>10</v>
      </c>
      <c r="U13" s="14"/>
      <c r="V13" s="4" t="s">
        <v>94</v>
      </c>
      <c r="W13" s="4" t="s">
        <v>467</v>
      </c>
    </row>
    <row r="14" spans="1:23" s="2" customFormat="1" x14ac:dyDescent="0.2">
      <c r="B14" s="2" t="s">
        <v>103</v>
      </c>
      <c r="D14" s="2">
        <v>1</v>
      </c>
      <c r="F14" s="3">
        <v>1</v>
      </c>
      <c r="G14" s="2">
        <v>1</v>
      </c>
      <c r="H14" s="2">
        <v>1</v>
      </c>
      <c r="I14" s="2">
        <v>1</v>
      </c>
      <c r="J14" s="3">
        <v>180</v>
      </c>
      <c r="L14" s="30"/>
      <c r="M14" s="30"/>
      <c r="N14" s="2">
        <v>0.4</v>
      </c>
      <c r="O14" s="2">
        <v>1</v>
      </c>
      <c r="P14" s="2">
        <v>0.3</v>
      </c>
      <c r="Q14" s="2">
        <v>15</v>
      </c>
      <c r="U14" s="14"/>
      <c r="V14" s="4" t="s">
        <v>94</v>
      </c>
      <c r="W14" s="4" t="s">
        <v>468</v>
      </c>
    </row>
    <row r="15" spans="1:23" s="2" customFormat="1" x14ac:dyDescent="0.2">
      <c r="B15" s="2" t="s">
        <v>65</v>
      </c>
      <c r="D15" s="2">
        <v>1</v>
      </c>
      <c r="F15" s="3">
        <v>1</v>
      </c>
      <c r="G15" s="2">
        <v>1</v>
      </c>
      <c r="H15" s="2">
        <v>1</v>
      </c>
      <c r="I15" s="2">
        <v>1</v>
      </c>
      <c r="J15" s="3">
        <v>90</v>
      </c>
      <c r="K15" s="2">
        <v>10</v>
      </c>
      <c r="L15" s="30">
        <v>0.1</v>
      </c>
      <c r="M15" s="30">
        <v>0.05</v>
      </c>
      <c r="N15" s="2">
        <v>0.2</v>
      </c>
      <c r="O15" s="2">
        <v>0.9</v>
      </c>
      <c r="P15" s="2">
        <v>0.3</v>
      </c>
      <c r="Q15" s="2">
        <v>10</v>
      </c>
      <c r="U15" s="14"/>
      <c r="V15" s="4" t="s">
        <v>91</v>
      </c>
      <c r="W15" s="4" t="s">
        <v>469</v>
      </c>
    </row>
    <row r="16" spans="1:23" s="2" customFormat="1" x14ac:dyDescent="0.2">
      <c r="B16" s="2" t="s">
        <v>109</v>
      </c>
      <c r="D16" s="2">
        <v>1</v>
      </c>
      <c r="F16" s="3">
        <v>1</v>
      </c>
      <c r="G16" s="2">
        <v>1</v>
      </c>
      <c r="H16" s="2">
        <v>1</v>
      </c>
      <c r="I16" s="2">
        <v>1</v>
      </c>
      <c r="J16" s="3">
        <v>120</v>
      </c>
      <c r="L16" s="30"/>
      <c r="M16" s="30"/>
      <c r="N16" s="2">
        <v>0.4</v>
      </c>
      <c r="O16" s="2">
        <v>1</v>
      </c>
      <c r="P16" s="2">
        <v>0.4</v>
      </c>
      <c r="Q16" s="2">
        <v>15</v>
      </c>
      <c r="U16" s="14"/>
      <c r="V16" s="4" t="s">
        <v>449</v>
      </c>
      <c r="W16" s="4" t="s">
        <v>470</v>
      </c>
    </row>
    <row r="17" spans="1:23" x14ac:dyDescent="0.2">
      <c r="B17" s="1" t="s">
        <v>62</v>
      </c>
      <c r="E17" s="1">
        <v>1</v>
      </c>
      <c r="F17" s="3">
        <v>1</v>
      </c>
      <c r="G17" s="1">
        <v>1</v>
      </c>
      <c r="H17" s="1">
        <v>1</v>
      </c>
      <c r="I17" s="1">
        <v>1</v>
      </c>
      <c r="J17" s="3">
        <v>210</v>
      </c>
      <c r="L17" s="30">
        <v>-0.1</v>
      </c>
      <c r="N17" s="1">
        <v>0.6</v>
      </c>
      <c r="O17" s="1">
        <v>1</v>
      </c>
      <c r="P17" s="1">
        <v>0.5</v>
      </c>
      <c r="Q17" s="1">
        <v>20</v>
      </c>
      <c r="V17" s="4" t="s">
        <v>94</v>
      </c>
      <c r="W17" s="4" t="s">
        <v>471</v>
      </c>
    </row>
    <row r="18" spans="1:23" s="2" customFormat="1" x14ac:dyDescent="0.2">
      <c r="B18" s="2" t="s">
        <v>177</v>
      </c>
      <c r="E18" s="2">
        <v>1</v>
      </c>
      <c r="F18" s="3"/>
      <c r="G18" s="2">
        <v>1</v>
      </c>
      <c r="H18" s="2">
        <v>1</v>
      </c>
      <c r="I18" s="2">
        <v>1</v>
      </c>
      <c r="J18" s="3">
        <v>180</v>
      </c>
      <c r="K18" s="2">
        <v>20</v>
      </c>
      <c r="L18" s="30">
        <v>-0.1</v>
      </c>
      <c r="M18" s="30">
        <v>0.05</v>
      </c>
      <c r="N18" s="2">
        <v>0.4</v>
      </c>
      <c r="O18" s="2">
        <v>1</v>
      </c>
      <c r="P18" s="2">
        <v>0.6</v>
      </c>
      <c r="Q18" s="2">
        <v>20</v>
      </c>
      <c r="U18" s="14"/>
      <c r="V18" s="4" t="s">
        <v>94</v>
      </c>
      <c r="W18" s="4" t="s">
        <v>472</v>
      </c>
    </row>
    <row r="19" spans="1:23" s="2" customFormat="1" x14ac:dyDescent="0.2">
      <c r="B19" s="2" t="s">
        <v>112</v>
      </c>
      <c r="D19" s="2">
        <v>1</v>
      </c>
      <c r="F19" s="3"/>
      <c r="G19" s="2">
        <v>1</v>
      </c>
      <c r="H19" s="2">
        <v>1</v>
      </c>
      <c r="I19" s="2">
        <v>1</v>
      </c>
      <c r="J19" s="3">
        <v>100</v>
      </c>
      <c r="L19" s="30">
        <v>0.05</v>
      </c>
      <c r="M19" s="30"/>
      <c r="N19" s="2">
        <v>0.2</v>
      </c>
      <c r="O19" s="2">
        <v>1</v>
      </c>
      <c r="P19" s="2">
        <v>0.3</v>
      </c>
      <c r="Q19" s="2">
        <v>10</v>
      </c>
      <c r="U19" s="14"/>
      <c r="V19" s="4" t="s">
        <v>195</v>
      </c>
      <c r="W19" s="4" t="s">
        <v>473</v>
      </c>
    </row>
    <row r="21" spans="1:23" x14ac:dyDescent="0.2">
      <c r="A21" s="1" t="s">
        <v>56</v>
      </c>
      <c r="B21" s="1" t="s">
        <v>189</v>
      </c>
      <c r="D21" s="1">
        <v>1</v>
      </c>
      <c r="F21" s="3">
        <v>1</v>
      </c>
      <c r="G21" s="1">
        <v>1</v>
      </c>
      <c r="H21" s="1">
        <v>1</v>
      </c>
      <c r="I21" s="1">
        <v>1</v>
      </c>
      <c r="J21" s="3">
        <v>100</v>
      </c>
      <c r="L21" s="30">
        <v>0.05</v>
      </c>
      <c r="N21" s="1">
        <v>0.3</v>
      </c>
      <c r="O21" s="1">
        <v>1</v>
      </c>
      <c r="P21" s="1">
        <v>0.3</v>
      </c>
      <c r="Q21" s="1">
        <v>10</v>
      </c>
      <c r="S21" s="2">
        <v>10</v>
      </c>
      <c r="U21" s="4" t="s">
        <v>217</v>
      </c>
      <c r="V21" s="4" t="s">
        <v>94</v>
      </c>
      <c r="W21" s="4" t="s">
        <v>474</v>
      </c>
    </row>
    <row r="22" spans="1:23" x14ac:dyDescent="0.2">
      <c r="B22" s="2" t="s">
        <v>190</v>
      </c>
      <c r="C22" s="2"/>
      <c r="D22" s="2">
        <v>1</v>
      </c>
      <c r="E22" s="2"/>
      <c r="F22" s="3">
        <v>1</v>
      </c>
      <c r="G22" s="2">
        <v>1</v>
      </c>
      <c r="H22" s="2">
        <v>1</v>
      </c>
      <c r="I22" s="2"/>
      <c r="J22" s="3">
        <v>80</v>
      </c>
      <c r="K22" s="2"/>
      <c r="L22" s="30">
        <v>0.1</v>
      </c>
      <c r="M22" s="30">
        <v>0.1</v>
      </c>
      <c r="N22" s="2">
        <v>0.3</v>
      </c>
      <c r="O22" s="2">
        <v>1</v>
      </c>
      <c r="P22" s="2">
        <v>0.3</v>
      </c>
      <c r="Q22" s="2">
        <v>10</v>
      </c>
      <c r="R22" s="2"/>
      <c r="U22" s="14" t="s">
        <v>476</v>
      </c>
      <c r="V22" s="4" t="s">
        <v>195</v>
      </c>
      <c r="W22" s="4" t="s">
        <v>475</v>
      </c>
    </row>
    <row r="23" spans="1:23" s="2" customFormat="1" x14ac:dyDescent="0.2">
      <c r="B23" s="2" t="s">
        <v>191</v>
      </c>
      <c r="D23" s="2">
        <v>1</v>
      </c>
      <c r="F23" s="3">
        <v>1</v>
      </c>
      <c r="G23" s="2">
        <v>1</v>
      </c>
      <c r="H23" s="2">
        <v>1</v>
      </c>
      <c r="I23" s="2">
        <v>1</v>
      </c>
      <c r="J23" s="3">
        <v>100</v>
      </c>
      <c r="L23" s="30">
        <v>0.05</v>
      </c>
      <c r="M23" s="30"/>
      <c r="N23" s="2">
        <v>0.3</v>
      </c>
      <c r="O23" s="2">
        <v>1</v>
      </c>
      <c r="P23" s="2">
        <v>0.3</v>
      </c>
      <c r="Q23" s="2">
        <v>15</v>
      </c>
      <c r="S23" s="2">
        <v>10</v>
      </c>
      <c r="U23" s="4" t="s">
        <v>217</v>
      </c>
      <c r="V23" s="4" t="s">
        <v>124</v>
      </c>
      <c r="W23" s="4" t="s">
        <v>192</v>
      </c>
    </row>
    <row r="24" spans="1:23" s="2" customFormat="1" x14ac:dyDescent="0.2">
      <c r="B24" s="2" t="s">
        <v>193</v>
      </c>
      <c r="D24" s="2">
        <v>1</v>
      </c>
      <c r="F24" s="3">
        <v>1</v>
      </c>
      <c r="J24" s="3">
        <v>70</v>
      </c>
      <c r="L24" s="30">
        <v>-0.1</v>
      </c>
      <c r="M24" s="30"/>
      <c r="N24" s="2">
        <v>0.3</v>
      </c>
      <c r="O24" s="2">
        <v>1</v>
      </c>
      <c r="P24" s="2">
        <v>0.3</v>
      </c>
      <c r="Q24" s="2">
        <v>10</v>
      </c>
      <c r="U24" s="14" t="s">
        <v>478</v>
      </c>
      <c r="V24" s="4" t="s">
        <v>195</v>
      </c>
      <c r="W24" s="4" t="s">
        <v>477</v>
      </c>
    </row>
    <row r="25" spans="1:23" s="2" customFormat="1" x14ac:dyDescent="0.2">
      <c r="B25" s="2" t="s">
        <v>198</v>
      </c>
      <c r="D25" s="2">
        <v>1</v>
      </c>
      <c r="F25" s="3">
        <v>1</v>
      </c>
      <c r="J25" s="3">
        <v>90</v>
      </c>
      <c r="L25" s="30">
        <v>0.05</v>
      </c>
      <c r="M25" s="30"/>
      <c r="N25" s="2">
        <v>0.3</v>
      </c>
      <c r="O25" s="2">
        <v>1</v>
      </c>
      <c r="P25" s="2">
        <v>0.3</v>
      </c>
      <c r="Q25" s="2">
        <v>10</v>
      </c>
      <c r="U25" s="4" t="s">
        <v>609</v>
      </c>
      <c r="V25" s="4" t="s">
        <v>195</v>
      </c>
      <c r="W25" s="4" t="s">
        <v>479</v>
      </c>
    </row>
    <row r="26" spans="1:23" s="2" customFormat="1" x14ac:dyDescent="0.2">
      <c r="B26" s="2" t="s">
        <v>199</v>
      </c>
      <c r="D26" s="2">
        <v>1</v>
      </c>
      <c r="F26" s="3"/>
      <c r="G26" s="2">
        <v>1</v>
      </c>
      <c r="J26" s="3">
        <v>120</v>
      </c>
      <c r="L26" s="30">
        <v>0.05</v>
      </c>
      <c r="M26" s="30"/>
      <c r="N26" s="2">
        <v>0.4</v>
      </c>
      <c r="O26" s="2">
        <v>1</v>
      </c>
      <c r="P26" s="2">
        <v>0.3</v>
      </c>
      <c r="Q26" s="2">
        <v>15</v>
      </c>
      <c r="S26" s="2">
        <v>10</v>
      </c>
      <c r="U26" s="4" t="s">
        <v>217</v>
      </c>
      <c r="V26" s="4" t="s">
        <v>94</v>
      </c>
      <c r="W26" s="4" t="s">
        <v>480</v>
      </c>
    </row>
    <row r="27" spans="1:23" s="2" customFormat="1" x14ac:dyDescent="0.2">
      <c r="B27" s="2" t="s">
        <v>201</v>
      </c>
      <c r="E27" s="2">
        <v>1</v>
      </c>
      <c r="F27" s="3">
        <v>1</v>
      </c>
      <c r="G27" s="2">
        <v>1</v>
      </c>
      <c r="H27" s="2">
        <v>1</v>
      </c>
      <c r="I27" s="2">
        <v>1</v>
      </c>
      <c r="J27" s="3">
        <v>90</v>
      </c>
      <c r="L27" s="30">
        <v>0.05</v>
      </c>
      <c r="M27" s="30"/>
      <c r="N27" s="2">
        <v>0.4</v>
      </c>
      <c r="O27" s="2">
        <v>1</v>
      </c>
      <c r="P27" s="2">
        <v>0.4</v>
      </c>
      <c r="Q27" s="2">
        <v>20</v>
      </c>
      <c r="U27" s="14"/>
      <c r="V27" s="4" t="s">
        <v>196</v>
      </c>
      <c r="W27" s="4" t="s">
        <v>481</v>
      </c>
    </row>
    <row r="28" spans="1:23" s="2" customFormat="1" x14ac:dyDescent="0.2">
      <c r="B28" s="1" t="s">
        <v>200</v>
      </c>
      <c r="C28" s="1"/>
      <c r="D28" s="1"/>
      <c r="E28" s="1">
        <v>1</v>
      </c>
      <c r="F28" s="3">
        <v>1</v>
      </c>
      <c r="G28" s="1">
        <v>1</v>
      </c>
      <c r="H28" s="1">
        <v>1</v>
      </c>
      <c r="I28" s="1">
        <v>1</v>
      </c>
      <c r="J28" s="3">
        <v>150</v>
      </c>
      <c r="K28" s="1"/>
      <c r="L28" s="30"/>
      <c r="M28" s="30">
        <v>0.05</v>
      </c>
      <c r="N28" s="1">
        <v>0.5</v>
      </c>
      <c r="O28" s="1">
        <v>1</v>
      </c>
      <c r="P28" s="1">
        <v>0.4</v>
      </c>
      <c r="Q28" s="1">
        <v>20</v>
      </c>
      <c r="R28" s="1"/>
      <c r="U28" s="14"/>
      <c r="V28" s="4" t="s">
        <v>94</v>
      </c>
      <c r="W28" s="4" t="s">
        <v>482</v>
      </c>
    </row>
    <row r="30" spans="1:23" ht="42.75" x14ac:dyDescent="0.2">
      <c r="A30" s="1" t="s">
        <v>49</v>
      </c>
      <c r="B30" s="1" t="s">
        <v>50</v>
      </c>
      <c r="D30" s="1">
        <v>1</v>
      </c>
      <c r="F30" s="3">
        <v>1</v>
      </c>
      <c r="H30" s="1">
        <v>1</v>
      </c>
      <c r="I30" s="1">
        <v>1</v>
      </c>
      <c r="L30" s="30">
        <v>-0.1</v>
      </c>
      <c r="M30" s="30">
        <v>1</v>
      </c>
      <c r="N30" s="1">
        <v>0.5</v>
      </c>
      <c r="O30" s="1">
        <v>1</v>
      </c>
      <c r="P30" s="1">
        <v>0.4</v>
      </c>
      <c r="Q30" s="1">
        <v>20</v>
      </c>
      <c r="R30" s="1">
        <v>10</v>
      </c>
      <c r="T30" s="2">
        <v>15</v>
      </c>
      <c r="U30" s="15" t="s">
        <v>487</v>
      </c>
      <c r="V30" s="4" t="s">
        <v>226</v>
      </c>
      <c r="W30" s="4" t="s">
        <v>489</v>
      </c>
    </row>
    <row r="31" spans="1:23" x14ac:dyDescent="0.2">
      <c r="B31" s="1" t="s">
        <v>223</v>
      </c>
      <c r="D31" s="1">
        <v>1</v>
      </c>
      <c r="F31" s="3">
        <v>1</v>
      </c>
      <c r="G31" s="1">
        <v>1</v>
      </c>
      <c r="H31" s="1">
        <v>1</v>
      </c>
      <c r="I31" s="1">
        <v>1</v>
      </c>
      <c r="J31" s="3">
        <v>20</v>
      </c>
      <c r="K31" s="1">
        <v>40</v>
      </c>
      <c r="N31" s="1">
        <v>0.3</v>
      </c>
      <c r="O31" s="1">
        <v>1</v>
      </c>
      <c r="P31" s="1">
        <v>0.3</v>
      </c>
      <c r="Q31" s="1">
        <v>10</v>
      </c>
      <c r="T31" s="2">
        <v>30</v>
      </c>
      <c r="U31" s="15" t="s">
        <v>491</v>
      </c>
      <c r="V31" s="4" t="s">
        <v>218</v>
      </c>
      <c r="W31" s="4" t="s">
        <v>488</v>
      </c>
    </row>
    <row r="32" spans="1:23" s="2" customFormat="1" x14ac:dyDescent="0.2">
      <c r="B32" s="2" t="s">
        <v>53</v>
      </c>
      <c r="D32" s="2">
        <v>1</v>
      </c>
      <c r="F32" s="3">
        <v>1</v>
      </c>
      <c r="G32" s="2">
        <v>1</v>
      </c>
      <c r="H32" s="2">
        <v>1</v>
      </c>
      <c r="I32" s="2">
        <v>1</v>
      </c>
      <c r="J32" s="3"/>
      <c r="K32" s="2">
        <v>30</v>
      </c>
      <c r="L32" s="30">
        <v>0.1</v>
      </c>
      <c r="M32" s="30"/>
      <c r="N32" s="2">
        <v>0.2</v>
      </c>
      <c r="O32" s="2">
        <v>0.9</v>
      </c>
      <c r="P32" s="2">
        <v>0.3</v>
      </c>
      <c r="Q32" s="2">
        <v>10</v>
      </c>
      <c r="T32" s="2">
        <v>15</v>
      </c>
      <c r="U32" s="14" t="s">
        <v>483</v>
      </c>
      <c r="V32" s="4" t="s">
        <v>197</v>
      </c>
      <c r="W32" s="4" t="s">
        <v>490</v>
      </c>
    </row>
    <row r="33" spans="1:23" s="2" customFormat="1" x14ac:dyDescent="0.2">
      <c r="B33" s="2" t="s">
        <v>442</v>
      </c>
      <c r="D33" s="2">
        <v>1</v>
      </c>
      <c r="F33" s="3">
        <v>1</v>
      </c>
      <c r="G33" s="2">
        <v>1</v>
      </c>
      <c r="H33" s="2">
        <v>1</v>
      </c>
      <c r="I33" s="2">
        <v>1</v>
      </c>
      <c r="J33" s="3">
        <v>30</v>
      </c>
      <c r="K33" s="2">
        <v>20</v>
      </c>
      <c r="L33" s="30">
        <v>0.05</v>
      </c>
      <c r="M33" s="30">
        <v>0.05</v>
      </c>
      <c r="N33" s="2">
        <v>0.3</v>
      </c>
      <c r="O33" s="2">
        <v>1</v>
      </c>
      <c r="P33" s="2">
        <v>0.3</v>
      </c>
      <c r="Q33" s="2">
        <v>10</v>
      </c>
      <c r="T33" s="2">
        <v>20</v>
      </c>
      <c r="U33" s="14" t="s">
        <v>484</v>
      </c>
      <c r="V33" s="4" t="s">
        <v>218</v>
      </c>
      <c r="W33" s="4" t="s">
        <v>490</v>
      </c>
    </row>
    <row r="34" spans="1:23" s="2" customFormat="1" x14ac:dyDescent="0.2">
      <c r="B34" s="2" t="s">
        <v>224</v>
      </c>
      <c r="E34" s="2">
        <v>1</v>
      </c>
      <c r="F34" s="3">
        <v>1</v>
      </c>
      <c r="G34" s="2">
        <v>1</v>
      </c>
      <c r="H34" s="2">
        <v>1</v>
      </c>
      <c r="I34" s="2">
        <v>1</v>
      </c>
      <c r="J34" s="3">
        <v>50</v>
      </c>
      <c r="K34" s="2">
        <v>50</v>
      </c>
      <c r="L34" s="30"/>
      <c r="M34" s="30">
        <v>0.1</v>
      </c>
      <c r="N34" s="2">
        <v>0.6</v>
      </c>
      <c r="O34" s="2">
        <v>1</v>
      </c>
      <c r="P34" s="2">
        <v>0.3</v>
      </c>
      <c r="Q34" s="2">
        <v>20</v>
      </c>
      <c r="T34" s="2">
        <v>15</v>
      </c>
      <c r="U34" s="14" t="s">
        <v>485</v>
      </c>
      <c r="V34" s="4" t="s">
        <v>95</v>
      </c>
      <c r="W34" s="4" t="s">
        <v>490</v>
      </c>
    </row>
    <row r="35" spans="1:23" s="2" customFormat="1" x14ac:dyDescent="0.2">
      <c r="B35" s="2" t="s">
        <v>219</v>
      </c>
      <c r="D35" s="2">
        <v>1</v>
      </c>
      <c r="F35" s="3">
        <v>1</v>
      </c>
      <c r="G35" s="2">
        <v>1</v>
      </c>
      <c r="H35" s="2">
        <v>1</v>
      </c>
      <c r="I35" s="2">
        <v>1</v>
      </c>
      <c r="J35" s="3"/>
      <c r="K35" s="2">
        <v>40</v>
      </c>
      <c r="L35" s="30">
        <v>0.05</v>
      </c>
      <c r="M35" s="30"/>
      <c r="N35" s="2">
        <v>0.3</v>
      </c>
      <c r="O35" s="2">
        <v>1</v>
      </c>
      <c r="P35" s="2">
        <v>0.3</v>
      </c>
      <c r="Q35" s="2">
        <v>10</v>
      </c>
      <c r="T35" s="2">
        <v>20</v>
      </c>
      <c r="U35" s="14" t="s">
        <v>486</v>
      </c>
      <c r="V35" s="4" t="s">
        <v>218</v>
      </c>
      <c r="W35" s="4" t="s">
        <v>490</v>
      </c>
    </row>
    <row r="36" spans="1:23" s="2" customFormat="1" x14ac:dyDescent="0.2">
      <c r="B36" s="2" t="s">
        <v>220</v>
      </c>
      <c r="D36" s="2">
        <v>1</v>
      </c>
      <c r="F36" s="3">
        <v>1</v>
      </c>
      <c r="G36" s="2">
        <v>1</v>
      </c>
      <c r="H36" s="2">
        <v>1</v>
      </c>
      <c r="I36" s="2">
        <v>1</v>
      </c>
      <c r="J36" s="3"/>
      <c r="L36" s="30">
        <v>-0.1</v>
      </c>
      <c r="M36" s="30">
        <v>1</v>
      </c>
      <c r="N36" s="2">
        <v>0.4</v>
      </c>
      <c r="O36" s="2">
        <v>1</v>
      </c>
      <c r="P36" s="2">
        <v>0.4</v>
      </c>
      <c r="Q36" s="2">
        <v>17</v>
      </c>
      <c r="T36" s="2">
        <v>25</v>
      </c>
      <c r="U36" s="14" t="s">
        <v>610</v>
      </c>
      <c r="V36" s="4" t="s">
        <v>218</v>
      </c>
      <c r="W36" s="4" t="s">
        <v>490</v>
      </c>
    </row>
    <row r="37" spans="1:23" s="2" customFormat="1" x14ac:dyDescent="0.2">
      <c r="F37" s="3"/>
      <c r="J37" s="3"/>
      <c r="L37" s="30"/>
      <c r="M37" s="30"/>
      <c r="U37" s="14"/>
      <c r="V37" s="4"/>
      <c r="W37" s="4"/>
    </row>
    <row r="38" spans="1:23" x14ac:dyDescent="0.2">
      <c r="A38" s="5" t="s">
        <v>24</v>
      </c>
      <c r="B38" s="2" t="s">
        <v>156</v>
      </c>
      <c r="C38" s="2"/>
      <c r="D38" s="2">
        <v>1</v>
      </c>
      <c r="E38" s="2"/>
      <c r="F38" s="3">
        <v>1</v>
      </c>
      <c r="G38" s="2">
        <v>1</v>
      </c>
      <c r="H38" s="2">
        <v>1</v>
      </c>
      <c r="I38" s="2">
        <v>1</v>
      </c>
      <c r="J38" s="3">
        <v>30</v>
      </c>
      <c r="K38" s="2">
        <v>30</v>
      </c>
      <c r="L38" s="30">
        <v>0.05</v>
      </c>
      <c r="N38" s="2">
        <v>0.3</v>
      </c>
      <c r="O38" s="2">
        <v>0.9</v>
      </c>
      <c r="P38" s="2">
        <v>0.3</v>
      </c>
      <c r="Q38" s="2">
        <v>10</v>
      </c>
      <c r="R38" s="2"/>
      <c r="U38" s="4" t="s">
        <v>609</v>
      </c>
      <c r="V38" s="4" t="s">
        <v>91</v>
      </c>
      <c r="W38" s="4" t="s">
        <v>176</v>
      </c>
    </row>
    <row r="39" spans="1:23" s="2" customFormat="1" x14ac:dyDescent="0.2">
      <c r="A39" s="5"/>
      <c r="B39" s="2" t="s">
        <v>163</v>
      </c>
      <c r="D39" s="2">
        <v>1</v>
      </c>
      <c r="F39" s="3">
        <v>1</v>
      </c>
      <c r="G39" s="2">
        <v>1</v>
      </c>
      <c r="H39" s="2">
        <v>1</v>
      </c>
      <c r="I39" s="2">
        <v>1</v>
      </c>
      <c r="J39" s="3">
        <v>30</v>
      </c>
      <c r="K39" s="2">
        <v>70</v>
      </c>
      <c r="L39" s="30">
        <v>0.05</v>
      </c>
      <c r="M39" s="30"/>
      <c r="N39" s="2">
        <v>0.4</v>
      </c>
      <c r="O39" s="2">
        <v>1</v>
      </c>
      <c r="P39" s="2">
        <v>0.3</v>
      </c>
      <c r="Q39" s="2">
        <v>15</v>
      </c>
      <c r="R39" s="2">
        <v>15</v>
      </c>
      <c r="U39" s="14" t="s">
        <v>249</v>
      </c>
      <c r="V39" s="4" t="s">
        <v>354</v>
      </c>
      <c r="W39" s="4" t="s">
        <v>164</v>
      </c>
    </row>
    <row r="40" spans="1:23" s="2" customFormat="1" x14ac:dyDescent="0.2">
      <c r="A40" s="5"/>
      <c r="B40" s="2" t="s">
        <v>166</v>
      </c>
      <c r="D40" s="2">
        <v>1</v>
      </c>
      <c r="F40" s="3">
        <v>1</v>
      </c>
      <c r="G40" s="2">
        <v>1</v>
      </c>
      <c r="H40" s="2">
        <v>1</v>
      </c>
      <c r="I40" s="2">
        <v>1</v>
      </c>
      <c r="J40" s="3">
        <v>20</v>
      </c>
      <c r="K40" s="2">
        <v>40</v>
      </c>
      <c r="L40" s="30">
        <v>0.05</v>
      </c>
      <c r="M40" s="30">
        <v>0.1</v>
      </c>
      <c r="N40" s="2">
        <v>0.3</v>
      </c>
      <c r="O40" s="2">
        <v>0.9</v>
      </c>
      <c r="P40" s="2">
        <v>0.3</v>
      </c>
      <c r="Q40" s="2">
        <v>10</v>
      </c>
      <c r="R40" s="2">
        <v>10</v>
      </c>
      <c r="U40" s="14" t="s">
        <v>250</v>
      </c>
      <c r="V40" s="4" t="s">
        <v>92</v>
      </c>
      <c r="W40" s="4" t="s">
        <v>171</v>
      </c>
    </row>
    <row r="41" spans="1:23" s="2" customFormat="1" x14ac:dyDescent="0.2">
      <c r="A41" s="5"/>
      <c r="B41" s="2" t="s">
        <v>165</v>
      </c>
      <c r="D41" s="2">
        <v>1</v>
      </c>
      <c r="F41" s="3">
        <v>1</v>
      </c>
      <c r="G41" s="2">
        <v>1</v>
      </c>
      <c r="H41" s="2">
        <v>1</v>
      </c>
      <c r="I41" s="2">
        <v>1</v>
      </c>
      <c r="J41" s="3">
        <v>80</v>
      </c>
      <c r="K41" s="2">
        <v>20</v>
      </c>
      <c r="L41" s="30">
        <v>0.05</v>
      </c>
      <c r="M41" s="30"/>
      <c r="N41" s="2">
        <v>0.4</v>
      </c>
      <c r="O41" s="2">
        <v>1</v>
      </c>
      <c r="P41" s="2">
        <v>0.3</v>
      </c>
      <c r="Q41" s="2">
        <v>15</v>
      </c>
      <c r="R41" s="2">
        <v>15</v>
      </c>
      <c r="U41" s="14" t="s">
        <v>249</v>
      </c>
      <c r="V41" s="4" t="s">
        <v>611</v>
      </c>
      <c r="W41" s="4" t="s">
        <v>172</v>
      </c>
    </row>
    <row r="42" spans="1:23" s="2" customFormat="1" x14ac:dyDescent="0.2">
      <c r="A42" s="5"/>
      <c r="B42" s="2" t="s">
        <v>167</v>
      </c>
      <c r="D42" s="2">
        <v>1</v>
      </c>
      <c r="F42" s="3">
        <v>1</v>
      </c>
      <c r="G42" s="2">
        <v>1</v>
      </c>
      <c r="H42" s="2">
        <v>1</v>
      </c>
      <c r="I42" s="2">
        <v>1</v>
      </c>
      <c r="J42" s="3">
        <v>50</v>
      </c>
      <c r="K42" s="2">
        <v>50</v>
      </c>
      <c r="L42" s="30">
        <v>0.05</v>
      </c>
      <c r="M42" s="30">
        <v>0.1</v>
      </c>
      <c r="N42" s="2">
        <v>0.3</v>
      </c>
      <c r="O42" s="2">
        <v>1</v>
      </c>
      <c r="P42" s="2">
        <v>0.3</v>
      </c>
      <c r="Q42" s="2">
        <v>10</v>
      </c>
      <c r="R42" s="2">
        <v>12</v>
      </c>
      <c r="U42" s="14" t="s">
        <v>251</v>
      </c>
      <c r="V42" s="4" t="s">
        <v>124</v>
      </c>
      <c r="W42" s="4" t="s">
        <v>173</v>
      </c>
    </row>
    <row r="43" spans="1:23" s="2" customFormat="1" x14ac:dyDescent="0.2">
      <c r="A43" s="5"/>
      <c r="B43" s="1" t="s">
        <v>168</v>
      </c>
      <c r="C43" s="1"/>
      <c r="D43" s="2">
        <v>1</v>
      </c>
      <c r="F43" s="3">
        <v>1</v>
      </c>
      <c r="G43" s="2">
        <v>1</v>
      </c>
      <c r="H43" s="2">
        <v>1</v>
      </c>
      <c r="I43" s="2">
        <v>1</v>
      </c>
      <c r="J43" s="3">
        <v>60</v>
      </c>
      <c r="K43" s="1">
        <v>30</v>
      </c>
      <c r="L43" s="30">
        <v>0.05</v>
      </c>
      <c r="M43" s="30"/>
      <c r="N43" s="1">
        <v>0.2</v>
      </c>
      <c r="O43" s="1">
        <v>0.8</v>
      </c>
      <c r="P43" s="1">
        <v>0.3</v>
      </c>
      <c r="Q43" s="1">
        <v>10</v>
      </c>
      <c r="R43" s="1">
        <v>10</v>
      </c>
      <c r="U43" s="14" t="s">
        <v>252</v>
      </c>
      <c r="V43" s="4" t="s">
        <v>92</v>
      </c>
      <c r="W43" s="4" t="s">
        <v>174</v>
      </c>
    </row>
    <row r="44" spans="1:23" x14ac:dyDescent="0.2">
      <c r="B44" s="2" t="s">
        <v>169</v>
      </c>
      <c r="C44" s="2"/>
      <c r="D44" s="2">
        <v>1</v>
      </c>
      <c r="E44" s="2"/>
      <c r="F44" s="3">
        <v>1</v>
      </c>
      <c r="G44" s="2">
        <v>1</v>
      </c>
      <c r="H44" s="2">
        <v>1</v>
      </c>
      <c r="I44" s="2">
        <v>1</v>
      </c>
      <c r="J44" s="3">
        <v>30</v>
      </c>
      <c r="K44" s="2">
        <v>40</v>
      </c>
      <c r="L44" s="30">
        <v>0.1</v>
      </c>
      <c r="M44" s="30">
        <v>0.05</v>
      </c>
      <c r="N44" s="2">
        <v>0.3</v>
      </c>
      <c r="O44" s="2">
        <v>0.9</v>
      </c>
      <c r="P44" s="2">
        <v>0.3</v>
      </c>
      <c r="Q44" s="2">
        <v>10</v>
      </c>
      <c r="R44" s="2">
        <v>10</v>
      </c>
      <c r="U44" s="14" t="s">
        <v>250</v>
      </c>
      <c r="V44" s="4" t="s">
        <v>91</v>
      </c>
      <c r="W44" s="4" t="s">
        <v>175</v>
      </c>
    </row>
    <row r="45" spans="1:23" s="2" customFormat="1" x14ac:dyDescent="0.2">
      <c r="B45" s="2" t="s">
        <v>178</v>
      </c>
      <c r="D45" s="2">
        <v>1</v>
      </c>
      <c r="F45" s="3">
        <v>1</v>
      </c>
      <c r="G45" s="2">
        <v>1</v>
      </c>
      <c r="H45" s="2">
        <v>1</v>
      </c>
      <c r="I45" s="2">
        <v>1</v>
      </c>
      <c r="J45" s="3">
        <v>40</v>
      </c>
      <c r="K45" s="2">
        <v>30</v>
      </c>
      <c r="L45" s="30">
        <v>0.1</v>
      </c>
      <c r="M45" s="30"/>
      <c r="N45" s="2">
        <v>0.4</v>
      </c>
      <c r="O45" s="2">
        <v>1</v>
      </c>
      <c r="P45" s="2">
        <v>0.3</v>
      </c>
      <c r="Q45" s="2">
        <v>10</v>
      </c>
      <c r="U45" s="14"/>
      <c r="V45" s="4" t="s">
        <v>91</v>
      </c>
      <c r="W45" s="4" t="s">
        <v>179</v>
      </c>
    </row>
    <row r="47" spans="1:23" s="2" customFormat="1" x14ac:dyDescent="0.2">
      <c r="A47" s="2" t="s">
        <v>27</v>
      </c>
      <c r="B47" s="2" t="s">
        <v>63</v>
      </c>
      <c r="D47" s="2">
        <v>1</v>
      </c>
      <c r="F47" s="3">
        <v>1</v>
      </c>
      <c r="G47" s="2">
        <v>1</v>
      </c>
      <c r="H47" s="2">
        <v>1</v>
      </c>
      <c r="I47" s="2">
        <v>1</v>
      </c>
      <c r="J47" s="3">
        <v>100</v>
      </c>
      <c r="K47" s="2">
        <v>30</v>
      </c>
      <c r="L47" s="30">
        <v>0.1</v>
      </c>
      <c r="M47" s="30"/>
      <c r="N47" s="2">
        <v>0.4</v>
      </c>
      <c r="O47" s="2">
        <v>1</v>
      </c>
      <c r="P47" s="2">
        <v>0.3</v>
      </c>
      <c r="Q47" s="2">
        <v>15</v>
      </c>
      <c r="U47" s="14"/>
      <c r="V47" s="4" t="s">
        <v>195</v>
      </c>
      <c r="W47" s="4" t="s">
        <v>492</v>
      </c>
    </row>
    <row r="48" spans="1:23" x14ac:dyDescent="0.2">
      <c r="B48" s="1" t="s">
        <v>77</v>
      </c>
      <c r="D48" s="1">
        <v>1</v>
      </c>
      <c r="F48" s="3">
        <v>1</v>
      </c>
      <c r="G48" s="1">
        <v>1</v>
      </c>
      <c r="H48" s="1">
        <v>1</v>
      </c>
      <c r="I48" s="1">
        <v>1</v>
      </c>
      <c r="J48" s="3">
        <v>30</v>
      </c>
      <c r="K48" s="1">
        <v>70</v>
      </c>
      <c r="M48" s="30">
        <v>0.1</v>
      </c>
      <c r="N48" s="1">
        <v>0.3</v>
      </c>
      <c r="O48" s="1">
        <v>1</v>
      </c>
      <c r="P48" s="1">
        <v>0.3</v>
      </c>
      <c r="Q48" s="1">
        <v>10</v>
      </c>
      <c r="V48" s="4" t="s">
        <v>94</v>
      </c>
      <c r="W48" s="4" t="s">
        <v>493</v>
      </c>
    </row>
    <row r="49" spans="1:23" s="2" customFormat="1" x14ac:dyDescent="0.2">
      <c r="B49" s="2" t="s">
        <v>72</v>
      </c>
      <c r="D49" s="2">
        <v>1</v>
      </c>
      <c r="F49" s="3">
        <v>1</v>
      </c>
      <c r="G49" s="2">
        <v>1</v>
      </c>
      <c r="H49" s="2">
        <v>1</v>
      </c>
      <c r="I49" s="2">
        <v>1</v>
      </c>
      <c r="J49" s="3">
        <v>60</v>
      </c>
      <c r="K49" s="2">
        <v>80</v>
      </c>
      <c r="L49" s="30">
        <v>0.1</v>
      </c>
      <c r="M49" s="30"/>
      <c r="N49" s="2">
        <v>0.2</v>
      </c>
      <c r="O49" s="2">
        <v>1</v>
      </c>
      <c r="P49" s="2">
        <v>0.3</v>
      </c>
      <c r="Q49" s="2">
        <v>10</v>
      </c>
      <c r="U49" s="14"/>
      <c r="V49" s="4" t="s">
        <v>95</v>
      </c>
      <c r="W49" s="4" t="s">
        <v>494</v>
      </c>
    </row>
    <row r="50" spans="1:23" s="2" customFormat="1" x14ac:dyDescent="0.2">
      <c r="B50" s="2" t="s">
        <v>75</v>
      </c>
      <c r="D50" s="2">
        <v>1</v>
      </c>
      <c r="F50" s="3">
        <v>1</v>
      </c>
      <c r="G50" s="2">
        <v>1</v>
      </c>
      <c r="H50" s="2">
        <v>1</v>
      </c>
      <c r="I50" s="2">
        <v>1</v>
      </c>
      <c r="J50" s="3">
        <v>80</v>
      </c>
      <c r="K50" s="2">
        <v>80</v>
      </c>
      <c r="L50" s="30"/>
      <c r="M50" s="30">
        <v>0.05</v>
      </c>
      <c r="N50" s="2">
        <v>0.3</v>
      </c>
      <c r="O50" s="2">
        <v>1</v>
      </c>
      <c r="P50" s="2">
        <v>0.3</v>
      </c>
      <c r="Q50" s="2">
        <v>15</v>
      </c>
      <c r="U50" s="14"/>
      <c r="V50" s="4" t="s">
        <v>36</v>
      </c>
      <c r="W50" s="4" t="s">
        <v>495</v>
      </c>
    </row>
    <row r="51" spans="1:23" x14ac:dyDescent="0.2">
      <c r="B51" s="1" t="s">
        <v>76</v>
      </c>
      <c r="D51" s="1">
        <v>1</v>
      </c>
      <c r="F51" s="3">
        <v>1</v>
      </c>
      <c r="G51" s="1">
        <v>1</v>
      </c>
      <c r="H51" s="1">
        <v>1</v>
      </c>
      <c r="I51" s="1">
        <v>1</v>
      </c>
      <c r="J51" s="3">
        <v>60</v>
      </c>
      <c r="K51" s="1">
        <v>100</v>
      </c>
      <c r="N51" s="1">
        <v>0.5</v>
      </c>
      <c r="O51" s="1">
        <v>1</v>
      </c>
      <c r="P51" s="1">
        <v>0.4</v>
      </c>
      <c r="Q51" s="1">
        <v>10</v>
      </c>
      <c r="V51" s="4" t="s">
        <v>95</v>
      </c>
      <c r="W51" s="4" t="s">
        <v>496</v>
      </c>
    </row>
    <row r="52" spans="1:23" s="2" customFormat="1" x14ac:dyDescent="0.2">
      <c r="B52" s="2" t="s">
        <v>79</v>
      </c>
      <c r="D52" s="2">
        <v>1</v>
      </c>
      <c r="F52" s="3">
        <v>1</v>
      </c>
      <c r="G52" s="2">
        <v>1</v>
      </c>
      <c r="H52" s="2">
        <v>1</v>
      </c>
      <c r="I52" s="2">
        <v>1</v>
      </c>
      <c r="J52" s="3">
        <v>80</v>
      </c>
      <c r="K52" s="2">
        <v>80</v>
      </c>
      <c r="L52" s="30">
        <v>0.3</v>
      </c>
      <c r="M52" s="30"/>
      <c r="N52" s="2">
        <v>0.6</v>
      </c>
      <c r="O52" s="2">
        <v>1</v>
      </c>
      <c r="P52" s="2">
        <v>0.6</v>
      </c>
      <c r="Q52" s="2">
        <v>17</v>
      </c>
      <c r="U52" s="14"/>
      <c r="V52" s="4" t="s">
        <v>36</v>
      </c>
      <c r="W52" s="4" t="s">
        <v>497</v>
      </c>
    </row>
    <row r="53" spans="1:23" s="2" customFormat="1" x14ac:dyDescent="0.2">
      <c r="B53" s="2" t="s">
        <v>84</v>
      </c>
      <c r="E53" s="2">
        <v>1</v>
      </c>
      <c r="F53" s="3">
        <v>1</v>
      </c>
      <c r="G53" s="2">
        <v>1</v>
      </c>
      <c r="H53" s="2">
        <v>1</v>
      </c>
      <c r="I53" s="2">
        <v>1</v>
      </c>
      <c r="J53" s="3">
        <v>160</v>
      </c>
      <c r="K53" s="2">
        <v>80</v>
      </c>
      <c r="L53" s="30">
        <v>-0.1</v>
      </c>
      <c r="M53" s="30"/>
      <c r="N53" s="2">
        <v>0.6</v>
      </c>
      <c r="O53" s="2">
        <v>1</v>
      </c>
      <c r="P53" s="2">
        <v>0.6</v>
      </c>
      <c r="Q53" s="2">
        <v>20</v>
      </c>
      <c r="U53" s="14"/>
      <c r="V53" s="4" t="s">
        <v>94</v>
      </c>
      <c r="W53" s="4" t="s">
        <v>498</v>
      </c>
    </row>
    <row r="54" spans="1:23" s="2" customFormat="1" x14ac:dyDescent="0.2">
      <c r="B54" s="2" t="s">
        <v>85</v>
      </c>
      <c r="E54" s="2">
        <v>1</v>
      </c>
      <c r="F54" s="3">
        <v>1</v>
      </c>
      <c r="G54" s="2">
        <v>1</v>
      </c>
      <c r="H54" s="2">
        <v>1</v>
      </c>
      <c r="I54" s="2">
        <v>1</v>
      </c>
      <c r="J54" s="3">
        <v>80</v>
      </c>
      <c r="K54" s="2">
        <v>130</v>
      </c>
      <c r="L54" s="30">
        <v>-0.1</v>
      </c>
      <c r="M54" s="30"/>
      <c r="N54" s="2">
        <v>0.6</v>
      </c>
      <c r="O54" s="2">
        <v>1</v>
      </c>
      <c r="P54" s="2">
        <v>0.6</v>
      </c>
      <c r="Q54" s="2">
        <v>20</v>
      </c>
      <c r="U54" s="14"/>
      <c r="V54" s="4" t="s">
        <v>95</v>
      </c>
      <c r="W54" s="4" t="s">
        <v>498</v>
      </c>
    </row>
    <row r="56" spans="1:23" s="2" customFormat="1" x14ac:dyDescent="0.2">
      <c r="A56" s="5" t="s">
        <v>17</v>
      </c>
      <c r="B56" s="2" t="s">
        <v>61</v>
      </c>
      <c r="D56" s="2">
        <v>1</v>
      </c>
      <c r="F56" s="3">
        <v>1</v>
      </c>
      <c r="G56" s="2">
        <v>1</v>
      </c>
      <c r="H56" s="2">
        <v>1</v>
      </c>
      <c r="I56" s="2">
        <v>1</v>
      </c>
      <c r="J56" s="3">
        <v>20</v>
      </c>
      <c r="K56" s="2">
        <v>30</v>
      </c>
      <c r="L56" s="30">
        <v>0.05</v>
      </c>
      <c r="M56" s="30">
        <v>0.05</v>
      </c>
      <c r="N56" s="2">
        <v>0.3</v>
      </c>
      <c r="O56" s="2">
        <v>1</v>
      </c>
      <c r="P56" s="2">
        <v>0.3</v>
      </c>
      <c r="Q56" s="2">
        <v>10</v>
      </c>
      <c r="R56" s="2">
        <v>25</v>
      </c>
      <c r="U56" s="14"/>
      <c r="V56" s="4" t="s">
        <v>91</v>
      </c>
      <c r="W56" s="4" t="s">
        <v>628</v>
      </c>
    </row>
    <row r="57" spans="1:23" s="2" customFormat="1" x14ac:dyDescent="0.2">
      <c r="A57" s="5"/>
      <c r="B57" s="2" t="s">
        <v>105</v>
      </c>
      <c r="D57" s="2">
        <v>1</v>
      </c>
      <c r="F57" s="3">
        <v>1</v>
      </c>
      <c r="G57" s="2">
        <v>1</v>
      </c>
      <c r="H57" s="2">
        <v>1</v>
      </c>
      <c r="I57" s="2">
        <v>1</v>
      </c>
      <c r="J57" s="3">
        <v>60</v>
      </c>
      <c r="K57" s="2">
        <v>60</v>
      </c>
      <c r="L57" s="30"/>
      <c r="M57" s="30">
        <v>0.1</v>
      </c>
      <c r="N57" s="2">
        <v>0.4</v>
      </c>
      <c r="O57" s="2">
        <v>1</v>
      </c>
      <c r="P57" s="2">
        <v>0.3</v>
      </c>
      <c r="Q57" s="2">
        <v>15</v>
      </c>
      <c r="R57" s="2">
        <v>40</v>
      </c>
      <c r="U57" s="14"/>
      <c r="V57" s="4" t="s">
        <v>124</v>
      </c>
      <c r="W57" s="4" t="s">
        <v>629</v>
      </c>
    </row>
    <row r="58" spans="1:23" s="2" customFormat="1" x14ac:dyDescent="0.2">
      <c r="A58" s="5"/>
      <c r="B58" s="2" t="s">
        <v>146</v>
      </c>
      <c r="E58" s="2">
        <v>1</v>
      </c>
      <c r="F58" s="3"/>
      <c r="G58" s="2">
        <v>1</v>
      </c>
      <c r="H58" s="2">
        <v>1</v>
      </c>
      <c r="I58" s="2">
        <v>1</v>
      </c>
      <c r="J58" s="3">
        <v>30</v>
      </c>
      <c r="K58" s="2">
        <v>90</v>
      </c>
      <c r="L58" s="30">
        <v>-0.05</v>
      </c>
      <c r="M58" s="30">
        <v>0.15</v>
      </c>
      <c r="N58" s="2">
        <v>0.6</v>
      </c>
      <c r="O58" s="2">
        <v>1</v>
      </c>
      <c r="P58" s="2">
        <v>0.5</v>
      </c>
      <c r="Q58" s="2">
        <v>20</v>
      </c>
      <c r="R58" s="2">
        <v>70</v>
      </c>
      <c r="U58" s="14"/>
      <c r="V58" s="4" t="s">
        <v>148</v>
      </c>
      <c r="W58" s="4" t="s">
        <v>499</v>
      </c>
    </row>
    <row r="59" spans="1:23" x14ac:dyDescent="0.2">
      <c r="B59" s="1" t="s">
        <v>48</v>
      </c>
      <c r="E59" s="1">
        <v>1</v>
      </c>
      <c r="F59" s="3">
        <v>1</v>
      </c>
      <c r="G59" s="1">
        <v>1</v>
      </c>
      <c r="H59" s="1">
        <v>1</v>
      </c>
      <c r="I59" s="1">
        <v>1</v>
      </c>
      <c r="J59" s="3">
        <v>100</v>
      </c>
      <c r="K59" s="1">
        <v>50</v>
      </c>
      <c r="L59" s="30">
        <v>-0.05</v>
      </c>
      <c r="M59" s="30">
        <v>0.1</v>
      </c>
      <c r="N59" s="1">
        <v>0.6</v>
      </c>
      <c r="O59" s="1">
        <v>1</v>
      </c>
      <c r="P59" s="1">
        <v>0.5</v>
      </c>
      <c r="Q59" s="1">
        <v>20</v>
      </c>
      <c r="R59" s="1">
        <v>60</v>
      </c>
      <c r="V59" s="4" t="s">
        <v>147</v>
      </c>
      <c r="W59" s="4" t="s">
        <v>500</v>
      </c>
    </row>
    <row r="60" spans="1:23" s="2" customFormat="1" x14ac:dyDescent="0.2">
      <c r="A60" s="5"/>
      <c r="B60" s="2" t="s">
        <v>151</v>
      </c>
      <c r="D60" s="2">
        <v>1</v>
      </c>
      <c r="F60" s="3">
        <v>1</v>
      </c>
      <c r="G60" s="2">
        <v>1</v>
      </c>
      <c r="H60" s="2">
        <v>1</v>
      </c>
      <c r="I60" s="2">
        <v>1</v>
      </c>
      <c r="J60" s="3">
        <v>30</v>
      </c>
      <c r="K60" s="2">
        <v>50</v>
      </c>
      <c r="L60" s="30"/>
      <c r="M60" s="30"/>
      <c r="N60" s="2">
        <v>0.3</v>
      </c>
      <c r="O60" s="2">
        <v>1</v>
      </c>
      <c r="P60" s="2">
        <v>0.3</v>
      </c>
      <c r="Q60" s="2">
        <v>15</v>
      </c>
      <c r="R60" s="2">
        <v>10</v>
      </c>
      <c r="U60" s="14"/>
      <c r="V60" s="4" t="s">
        <v>612</v>
      </c>
      <c r="W60" s="4" t="s">
        <v>501</v>
      </c>
    </row>
    <row r="61" spans="1:23" s="2" customFormat="1" x14ac:dyDescent="0.2">
      <c r="A61" s="5"/>
      <c r="B61" s="2" t="s">
        <v>155</v>
      </c>
      <c r="D61" s="2">
        <v>1</v>
      </c>
      <c r="F61" s="3">
        <v>1</v>
      </c>
      <c r="G61" s="2">
        <v>1</v>
      </c>
      <c r="H61" s="2">
        <v>1</v>
      </c>
      <c r="I61" s="2">
        <v>1</v>
      </c>
      <c r="J61" s="3">
        <v>40</v>
      </c>
      <c r="K61" s="2">
        <v>70</v>
      </c>
      <c r="L61" s="30"/>
      <c r="M61" s="30"/>
      <c r="N61" s="2">
        <v>0.4</v>
      </c>
      <c r="O61" s="2">
        <v>1</v>
      </c>
      <c r="P61" s="2">
        <v>0.4</v>
      </c>
      <c r="Q61" s="2">
        <v>15</v>
      </c>
      <c r="R61" s="2">
        <v>40</v>
      </c>
      <c r="U61" s="14" t="s">
        <v>635</v>
      </c>
      <c r="V61" s="4" t="s">
        <v>216</v>
      </c>
      <c r="W61" s="4" t="s">
        <v>502</v>
      </c>
    </row>
    <row r="62" spans="1:23" s="2" customFormat="1" x14ac:dyDescent="0.2">
      <c r="A62" s="5"/>
      <c r="B62" s="2" t="s">
        <v>634</v>
      </c>
      <c r="D62" s="2">
        <v>1</v>
      </c>
      <c r="F62" s="3">
        <v>1</v>
      </c>
      <c r="G62" s="2">
        <v>1</v>
      </c>
      <c r="H62" s="2">
        <v>1</v>
      </c>
      <c r="I62" s="2">
        <v>1</v>
      </c>
      <c r="J62" s="3">
        <v>90</v>
      </c>
      <c r="K62" s="2">
        <v>20</v>
      </c>
      <c r="L62" s="30"/>
      <c r="M62" s="30"/>
      <c r="N62" s="2">
        <v>0.4</v>
      </c>
      <c r="O62" s="2">
        <v>1</v>
      </c>
      <c r="P62" s="2">
        <v>0.3</v>
      </c>
      <c r="Q62" s="2">
        <v>15</v>
      </c>
      <c r="R62" s="2">
        <v>30</v>
      </c>
      <c r="U62" s="14"/>
      <c r="V62" s="4" t="s">
        <v>612</v>
      </c>
      <c r="W62" s="4" t="s">
        <v>627</v>
      </c>
    </row>
    <row r="63" spans="1:23" s="2" customFormat="1" x14ac:dyDescent="0.2">
      <c r="A63" s="5"/>
      <c r="B63" s="2" t="s">
        <v>154</v>
      </c>
      <c r="D63" s="2">
        <v>1</v>
      </c>
      <c r="F63" s="3">
        <v>1</v>
      </c>
      <c r="G63" s="2">
        <v>1</v>
      </c>
      <c r="H63" s="2">
        <v>1</v>
      </c>
      <c r="I63" s="2">
        <v>1</v>
      </c>
      <c r="J63" s="3">
        <v>80</v>
      </c>
      <c r="K63" s="2">
        <v>60</v>
      </c>
      <c r="L63" s="30">
        <v>-0.05</v>
      </c>
      <c r="M63" s="30"/>
      <c r="N63" s="2">
        <v>0.5</v>
      </c>
      <c r="O63" s="2">
        <v>1</v>
      </c>
      <c r="P63" s="2">
        <v>0.5</v>
      </c>
      <c r="Q63" s="2">
        <v>20</v>
      </c>
      <c r="R63" s="2">
        <v>50</v>
      </c>
      <c r="U63" s="4" t="s">
        <v>609</v>
      </c>
      <c r="V63" s="4" t="s">
        <v>612</v>
      </c>
      <c r="W63" s="4" t="s">
        <v>630</v>
      </c>
    </row>
    <row r="64" spans="1:23" s="2" customFormat="1" x14ac:dyDescent="0.2">
      <c r="A64" s="5"/>
      <c r="F64" s="3"/>
      <c r="J64" s="3"/>
      <c r="L64" s="30"/>
      <c r="M64" s="30"/>
      <c r="U64" s="4"/>
      <c r="V64" s="4"/>
      <c r="W64" s="4"/>
    </row>
    <row r="65" spans="1:23" s="2" customFormat="1" x14ac:dyDescent="0.2">
      <c r="A65" s="5" t="s">
        <v>23</v>
      </c>
      <c r="B65" s="2" t="s">
        <v>240</v>
      </c>
      <c r="D65" s="2">
        <v>1</v>
      </c>
      <c r="F65" s="3">
        <v>1</v>
      </c>
      <c r="J65" s="3"/>
      <c r="L65" s="30">
        <v>-0.05</v>
      </c>
      <c r="M65" s="30">
        <v>1</v>
      </c>
      <c r="N65" s="2">
        <v>0.4</v>
      </c>
      <c r="O65" s="2">
        <v>1</v>
      </c>
      <c r="P65" s="2">
        <v>0.4</v>
      </c>
      <c r="Q65" s="2">
        <v>10</v>
      </c>
      <c r="T65" s="2">
        <v>25</v>
      </c>
      <c r="U65" s="4" t="s">
        <v>618</v>
      </c>
      <c r="V65" s="4" t="s">
        <v>218</v>
      </c>
      <c r="W65" s="4" t="s">
        <v>619</v>
      </c>
    </row>
    <row r="66" spans="1:23" s="2" customFormat="1" x14ac:dyDescent="0.2">
      <c r="A66" s="5"/>
      <c r="B66" s="2" t="s">
        <v>241</v>
      </c>
      <c r="D66" s="2">
        <v>1</v>
      </c>
      <c r="F66" s="3">
        <v>1</v>
      </c>
      <c r="G66" s="2">
        <v>1</v>
      </c>
      <c r="H66" s="2">
        <v>1</v>
      </c>
      <c r="I66" s="2">
        <v>1</v>
      </c>
      <c r="J66" s="3">
        <v>10</v>
      </c>
      <c r="L66" s="30"/>
      <c r="M66" s="30"/>
      <c r="N66" s="2">
        <v>0.2</v>
      </c>
      <c r="O66" s="2">
        <v>0.9</v>
      </c>
      <c r="P66" s="2">
        <v>0.2</v>
      </c>
      <c r="Q66" s="2">
        <v>10</v>
      </c>
      <c r="S66" s="2">
        <v>5</v>
      </c>
      <c r="U66" s="4" t="s">
        <v>254</v>
      </c>
      <c r="V66" s="4" t="s">
        <v>242</v>
      </c>
      <c r="W66" s="4" t="s">
        <v>503</v>
      </c>
    </row>
    <row r="67" spans="1:23" s="2" customFormat="1" x14ac:dyDescent="0.2">
      <c r="A67" s="5"/>
      <c r="B67" s="2" t="s">
        <v>244</v>
      </c>
      <c r="D67" s="2">
        <v>1</v>
      </c>
      <c r="F67" s="3">
        <v>1</v>
      </c>
      <c r="G67" s="2">
        <v>1</v>
      </c>
      <c r="H67" s="2">
        <v>1</v>
      </c>
      <c r="I67" s="2">
        <v>1</v>
      </c>
      <c r="J67" s="3">
        <v>30</v>
      </c>
      <c r="L67" s="30">
        <v>0.05</v>
      </c>
      <c r="M67" s="30"/>
      <c r="N67" s="2">
        <v>0.5</v>
      </c>
      <c r="O67" s="2">
        <v>1</v>
      </c>
      <c r="P67" s="2">
        <v>0.3</v>
      </c>
      <c r="Q67" s="2">
        <v>15</v>
      </c>
      <c r="S67" s="2">
        <v>5</v>
      </c>
      <c r="U67" s="14" t="s">
        <v>253</v>
      </c>
      <c r="V67" s="4" t="s">
        <v>91</v>
      </c>
      <c r="W67" s="4" t="s">
        <v>504</v>
      </c>
    </row>
    <row r="68" spans="1:23" s="2" customFormat="1" x14ac:dyDescent="0.2">
      <c r="A68" s="5"/>
      <c r="B68" s="2" t="s">
        <v>248</v>
      </c>
      <c r="D68" s="2">
        <v>1</v>
      </c>
      <c r="F68" s="3">
        <v>1</v>
      </c>
      <c r="G68" s="2">
        <v>1</v>
      </c>
      <c r="H68" s="2">
        <v>1</v>
      </c>
      <c r="I68" s="2">
        <v>1</v>
      </c>
      <c r="J68" s="3">
        <v>20</v>
      </c>
      <c r="K68" s="2">
        <v>20</v>
      </c>
      <c r="L68" s="30"/>
      <c r="M68" s="30"/>
      <c r="N68" s="2">
        <v>0.3</v>
      </c>
      <c r="O68" s="2">
        <v>0.8</v>
      </c>
      <c r="P68" s="2">
        <v>0.3</v>
      </c>
      <c r="Q68" s="2">
        <v>10</v>
      </c>
      <c r="R68" s="2">
        <v>20</v>
      </c>
      <c r="U68" s="14" t="s">
        <v>249</v>
      </c>
      <c r="V68" s="4" t="s">
        <v>92</v>
      </c>
      <c r="W68" s="4" t="s">
        <v>505</v>
      </c>
    </row>
    <row r="69" spans="1:23" s="2" customFormat="1" x14ac:dyDescent="0.2">
      <c r="A69" s="5"/>
      <c r="B69" s="2" t="s">
        <v>257</v>
      </c>
      <c r="D69" s="2">
        <v>1</v>
      </c>
      <c r="F69" s="3">
        <v>1</v>
      </c>
      <c r="G69" s="2">
        <v>1</v>
      </c>
      <c r="H69" s="2">
        <v>1</v>
      </c>
      <c r="I69" s="2">
        <v>1</v>
      </c>
      <c r="J69" s="3">
        <v>30</v>
      </c>
      <c r="K69" s="2">
        <v>30</v>
      </c>
      <c r="L69" s="30"/>
      <c r="M69" s="30">
        <v>0.1</v>
      </c>
      <c r="N69" s="2">
        <v>0.3</v>
      </c>
      <c r="O69" s="2">
        <v>0.9</v>
      </c>
      <c r="P69" s="2">
        <v>0.3</v>
      </c>
      <c r="Q69" s="2">
        <v>10</v>
      </c>
      <c r="R69" s="2">
        <v>10</v>
      </c>
      <c r="S69" s="2">
        <v>5</v>
      </c>
      <c r="T69" s="2">
        <v>20</v>
      </c>
      <c r="U69" s="4" t="s">
        <v>217</v>
      </c>
      <c r="V69" s="4" t="s">
        <v>91</v>
      </c>
      <c r="W69" s="4" t="s">
        <v>506</v>
      </c>
    </row>
    <row r="70" spans="1:23" s="2" customFormat="1" x14ac:dyDescent="0.2">
      <c r="A70" s="5"/>
      <c r="B70" s="2" t="s">
        <v>258</v>
      </c>
      <c r="D70" s="2">
        <v>1</v>
      </c>
      <c r="F70" s="3">
        <v>1</v>
      </c>
      <c r="G70" s="2">
        <v>1</v>
      </c>
      <c r="H70" s="2">
        <v>1</v>
      </c>
      <c r="I70" s="2">
        <v>1</v>
      </c>
      <c r="J70" s="3">
        <v>60</v>
      </c>
      <c r="L70" s="30"/>
      <c r="M70" s="30">
        <v>0.1</v>
      </c>
      <c r="N70" s="2">
        <v>0.3</v>
      </c>
      <c r="O70" s="2">
        <v>0.9</v>
      </c>
      <c r="P70" s="2">
        <v>0.3</v>
      </c>
      <c r="Q70" s="2">
        <v>10</v>
      </c>
      <c r="S70" s="2">
        <v>10</v>
      </c>
      <c r="T70" s="2">
        <v>20</v>
      </c>
      <c r="U70" s="4" t="s">
        <v>217</v>
      </c>
      <c r="V70" s="4" t="s">
        <v>242</v>
      </c>
      <c r="W70" s="4" t="s">
        <v>507</v>
      </c>
    </row>
    <row r="71" spans="1:23" s="2" customFormat="1" x14ac:dyDescent="0.2">
      <c r="A71" s="5"/>
      <c r="B71" s="2" t="s">
        <v>259</v>
      </c>
      <c r="D71" s="2">
        <v>1</v>
      </c>
      <c r="F71" s="3">
        <v>1</v>
      </c>
      <c r="G71" s="2">
        <v>1</v>
      </c>
      <c r="H71" s="2">
        <v>1</v>
      </c>
      <c r="I71" s="2">
        <v>1</v>
      </c>
      <c r="J71" s="3">
        <v>30</v>
      </c>
      <c r="K71" s="2">
        <v>10</v>
      </c>
      <c r="L71" s="30">
        <v>0.05</v>
      </c>
      <c r="M71" s="30">
        <v>0.05</v>
      </c>
      <c r="N71" s="2">
        <v>0.5</v>
      </c>
      <c r="O71" s="2">
        <v>1</v>
      </c>
      <c r="P71" s="2">
        <v>0.3</v>
      </c>
      <c r="Q71" s="2">
        <v>10</v>
      </c>
      <c r="R71" s="2">
        <v>10</v>
      </c>
      <c r="U71" s="4" t="s">
        <v>277</v>
      </c>
      <c r="V71" s="4" t="s">
        <v>91</v>
      </c>
      <c r="W71" s="4" t="s">
        <v>508</v>
      </c>
    </row>
    <row r="72" spans="1:23" s="2" customFormat="1" x14ac:dyDescent="0.2">
      <c r="A72" s="5"/>
      <c r="B72" s="2" t="s">
        <v>351</v>
      </c>
      <c r="D72" s="2">
        <v>1</v>
      </c>
      <c r="F72" s="3">
        <v>1</v>
      </c>
      <c r="G72" s="2">
        <v>1</v>
      </c>
      <c r="H72" s="2">
        <v>1</v>
      </c>
      <c r="I72" s="2">
        <v>1</v>
      </c>
      <c r="J72" s="3">
        <v>100</v>
      </c>
      <c r="K72" s="2">
        <v>20</v>
      </c>
      <c r="L72" s="30">
        <v>-0.1</v>
      </c>
      <c r="M72" s="30"/>
      <c r="N72" s="2">
        <v>0.6</v>
      </c>
      <c r="O72" s="2">
        <v>1</v>
      </c>
      <c r="P72" s="2">
        <v>0.5</v>
      </c>
      <c r="Q72" s="2">
        <v>20</v>
      </c>
      <c r="R72" s="2">
        <v>10</v>
      </c>
      <c r="S72" s="2">
        <v>10</v>
      </c>
      <c r="T72" s="2">
        <v>30</v>
      </c>
      <c r="U72" s="4" t="s">
        <v>260</v>
      </c>
      <c r="V72" s="4" t="s">
        <v>92</v>
      </c>
      <c r="W72" s="4" t="s">
        <v>509</v>
      </c>
    </row>
    <row r="73" spans="1:23" s="2" customFormat="1" x14ac:dyDescent="0.2">
      <c r="A73" s="5"/>
      <c r="F73" s="3"/>
      <c r="J73" s="3"/>
      <c r="L73" s="30"/>
      <c r="M73" s="30"/>
      <c r="U73" s="4"/>
      <c r="V73" s="4"/>
    </row>
    <row r="74" spans="1:23" s="2" customFormat="1" x14ac:dyDescent="0.2">
      <c r="A74" s="5" t="s">
        <v>273</v>
      </c>
      <c r="B74" s="2" t="s">
        <v>284</v>
      </c>
      <c r="D74" s="2">
        <v>1</v>
      </c>
      <c r="F74" s="3">
        <v>1</v>
      </c>
      <c r="G74" s="2">
        <v>1</v>
      </c>
      <c r="H74" s="2">
        <v>1</v>
      </c>
      <c r="I74" s="2">
        <v>1</v>
      </c>
      <c r="J74" s="3">
        <v>10</v>
      </c>
      <c r="L74" s="30">
        <v>-0.05</v>
      </c>
      <c r="M74" s="30"/>
      <c r="N74" s="2">
        <v>0.4</v>
      </c>
      <c r="O74" s="2">
        <v>1</v>
      </c>
      <c r="P74" s="2">
        <v>0.4</v>
      </c>
      <c r="Q74" s="2">
        <v>10</v>
      </c>
      <c r="T74" s="2">
        <v>25</v>
      </c>
      <c r="U74" s="4" t="s">
        <v>285</v>
      </c>
      <c r="V74" s="4" t="s">
        <v>91</v>
      </c>
      <c r="W74" s="4" t="s">
        <v>510</v>
      </c>
    </row>
    <row r="75" spans="1:23" s="2" customFormat="1" x14ac:dyDescent="0.2">
      <c r="A75" s="5"/>
      <c r="B75" s="2" t="s">
        <v>279</v>
      </c>
      <c r="D75" s="2">
        <v>1</v>
      </c>
      <c r="F75" s="3">
        <v>1</v>
      </c>
      <c r="G75" s="2">
        <v>1</v>
      </c>
      <c r="H75" s="2">
        <v>1</v>
      </c>
      <c r="I75" s="2">
        <v>1</v>
      </c>
      <c r="J75" s="3">
        <v>50</v>
      </c>
      <c r="K75" s="2">
        <v>30</v>
      </c>
      <c r="L75" s="30"/>
      <c r="M75" s="30"/>
      <c r="N75" s="2">
        <v>0.4</v>
      </c>
      <c r="O75" s="2">
        <v>1</v>
      </c>
      <c r="P75" s="2">
        <v>0.4</v>
      </c>
      <c r="Q75" s="2">
        <v>10</v>
      </c>
      <c r="U75" s="4" t="s">
        <v>286</v>
      </c>
      <c r="V75" s="4" t="s">
        <v>242</v>
      </c>
      <c r="W75" s="4" t="s">
        <v>511</v>
      </c>
    </row>
    <row r="76" spans="1:23" s="2" customFormat="1" x14ac:dyDescent="0.2">
      <c r="A76" s="5"/>
      <c r="B76" s="2" t="s">
        <v>280</v>
      </c>
      <c r="D76" s="2">
        <v>1</v>
      </c>
      <c r="F76" s="3">
        <v>1</v>
      </c>
      <c r="G76" s="2">
        <v>1</v>
      </c>
      <c r="H76" s="2">
        <v>1</v>
      </c>
      <c r="I76" s="2">
        <v>1</v>
      </c>
      <c r="J76" s="3">
        <v>40</v>
      </c>
      <c r="K76" s="2">
        <v>10</v>
      </c>
      <c r="L76" s="30"/>
      <c r="M76" s="30">
        <v>0.05</v>
      </c>
      <c r="N76" s="2">
        <v>0.3</v>
      </c>
      <c r="O76" s="2">
        <v>1</v>
      </c>
      <c r="P76" s="2">
        <v>0.4</v>
      </c>
      <c r="Q76" s="2">
        <v>10</v>
      </c>
      <c r="S76" s="2">
        <v>15</v>
      </c>
      <c r="U76" s="4" t="s">
        <v>217</v>
      </c>
      <c r="V76" s="4" t="s">
        <v>242</v>
      </c>
      <c r="W76" s="4" t="s">
        <v>512</v>
      </c>
    </row>
    <row r="77" spans="1:23" s="2" customFormat="1" x14ac:dyDescent="0.2">
      <c r="A77" s="5"/>
      <c r="B77" s="2" t="s">
        <v>287</v>
      </c>
      <c r="D77" s="2">
        <v>1</v>
      </c>
      <c r="F77" s="3">
        <v>1</v>
      </c>
      <c r="G77" s="2">
        <v>1</v>
      </c>
      <c r="H77" s="2">
        <v>1</v>
      </c>
      <c r="I77" s="2">
        <v>1</v>
      </c>
      <c r="J77" s="3">
        <v>10</v>
      </c>
      <c r="K77" s="2">
        <v>20</v>
      </c>
      <c r="L77" s="30"/>
      <c r="M77" s="30"/>
      <c r="N77" s="2">
        <v>0.4</v>
      </c>
      <c r="O77" s="2">
        <v>1</v>
      </c>
      <c r="P77" s="2">
        <v>0.3</v>
      </c>
      <c r="Q77" s="2">
        <v>10</v>
      </c>
      <c r="T77" s="2">
        <v>10</v>
      </c>
      <c r="U77" s="4" t="s">
        <v>636</v>
      </c>
      <c r="V77" s="4" t="s">
        <v>218</v>
      </c>
      <c r="W77" s="4" t="s">
        <v>513</v>
      </c>
    </row>
    <row r="78" spans="1:23" s="2" customFormat="1" x14ac:dyDescent="0.2">
      <c r="A78" s="5"/>
      <c r="B78" s="2" t="s">
        <v>283</v>
      </c>
      <c r="D78" s="2">
        <v>1</v>
      </c>
      <c r="F78" s="3">
        <v>1</v>
      </c>
      <c r="G78" s="2">
        <v>1</v>
      </c>
      <c r="H78" s="2">
        <v>1</v>
      </c>
      <c r="I78" s="2">
        <v>1</v>
      </c>
      <c r="J78" s="3">
        <v>30</v>
      </c>
      <c r="L78" s="30">
        <v>0.05</v>
      </c>
      <c r="M78" s="30">
        <v>0.05</v>
      </c>
      <c r="N78" s="2">
        <v>0.2</v>
      </c>
      <c r="O78" s="2">
        <v>0.6</v>
      </c>
      <c r="P78" s="2">
        <v>0.2</v>
      </c>
      <c r="Q78" s="2">
        <v>10</v>
      </c>
      <c r="S78" s="2">
        <v>15</v>
      </c>
      <c r="U78" s="4" t="s">
        <v>217</v>
      </c>
      <c r="V78" s="4" t="s">
        <v>91</v>
      </c>
      <c r="W78" s="4" t="s">
        <v>514</v>
      </c>
    </row>
    <row r="79" spans="1:23" s="2" customFormat="1" x14ac:dyDescent="0.2">
      <c r="A79" s="5"/>
      <c r="B79" s="2" t="s">
        <v>443</v>
      </c>
      <c r="D79" s="2">
        <v>1</v>
      </c>
      <c r="F79" s="3">
        <v>1</v>
      </c>
      <c r="G79" s="2">
        <v>1</v>
      </c>
      <c r="H79" s="2">
        <v>1</v>
      </c>
      <c r="I79" s="2">
        <v>1</v>
      </c>
      <c r="J79" s="3">
        <v>20</v>
      </c>
      <c r="K79" s="2">
        <v>20</v>
      </c>
      <c r="L79" s="30"/>
      <c r="M79" s="30"/>
      <c r="N79" s="2">
        <v>0.3</v>
      </c>
      <c r="O79" s="2">
        <v>1</v>
      </c>
      <c r="P79" s="2">
        <v>0.3</v>
      </c>
      <c r="Q79" s="2">
        <v>10</v>
      </c>
      <c r="S79" s="2">
        <v>15</v>
      </c>
      <c r="U79" s="4" t="s">
        <v>288</v>
      </c>
      <c r="V79" s="4" t="s">
        <v>242</v>
      </c>
      <c r="W79" s="4" t="s">
        <v>515</v>
      </c>
    </row>
    <row r="80" spans="1:23" x14ac:dyDescent="0.2">
      <c r="B80" s="1" t="s">
        <v>282</v>
      </c>
      <c r="E80" s="1">
        <v>1</v>
      </c>
      <c r="F80" s="3">
        <v>1</v>
      </c>
      <c r="G80" s="1">
        <v>1</v>
      </c>
      <c r="H80" s="1">
        <v>1</v>
      </c>
      <c r="I80" s="1">
        <v>1</v>
      </c>
      <c r="J80" s="3">
        <v>80</v>
      </c>
      <c r="L80" s="30">
        <v>-0.1</v>
      </c>
      <c r="N80" s="1">
        <v>0.6</v>
      </c>
      <c r="O80" s="1">
        <v>1</v>
      </c>
      <c r="P80" s="1">
        <v>0.5</v>
      </c>
      <c r="Q80" s="1">
        <v>20</v>
      </c>
      <c r="T80" s="2">
        <v>30</v>
      </c>
      <c r="V80" s="4" t="s">
        <v>218</v>
      </c>
      <c r="W80" s="4" t="s">
        <v>516</v>
      </c>
    </row>
    <row r="81" spans="1:23" s="2" customFormat="1" x14ac:dyDescent="0.2">
      <c r="B81" s="2" t="s">
        <v>281</v>
      </c>
      <c r="E81" s="2">
        <v>1</v>
      </c>
      <c r="F81" s="3">
        <v>1</v>
      </c>
      <c r="G81" s="2">
        <v>1</v>
      </c>
      <c r="H81" s="2">
        <v>1</v>
      </c>
      <c r="I81" s="2">
        <v>1</v>
      </c>
      <c r="J81" s="3">
        <v>80</v>
      </c>
      <c r="L81" s="30">
        <v>-0.1</v>
      </c>
      <c r="M81" s="30"/>
      <c r="N81" s="2">
        <v>0.6</v>
      </c>
      <c r="O81" s="2">
        <v>1</v>
      </c>
      <c r="P81" s="2">
        <v>0.5</v>
      </c>
      <c r="Q81" s="2">
        <v>20</v>
      </c>
      <c r="S81" s="2">
        <v>20</v>
      </c>
      <c r="U81" s="4" t="s">
        <v>217</v>
      </c>
      <c r="V81" s="4" t="s">
        <v>242</v>
      </c>
      <c r="W81" s="4" t="s">
        <v>517</v>
      </c>
    </row>
    <row r="82" spans="1:23" s="2" customFormat="1" x14ac:dyDescent="0.2">
      <c r="F82" s="3"/>
      <c r="J82" s="3"/>
      <c r="L82" s="30"/>
      <c r="M82" s="30"/>
      <c r="U82" s="14"/>
      <c r="V82" s="4"/>
      <c r="W82" s="4"/>
    </row>
    <row r="83" spans="1:23" x14ac:dyDescent="0.2">
      <c r="A83" s="5" t="s">
        <v>21</v>
      </c>
      <c r="B83" s="5" t="s">
        <v>42</v>
      </c>
      <c r="C83" s="1">
        <v>1</v>
      </c>
      <c r="F83" s="3">
        <v>1</v>
      </c>
      <c r="K83" s="1">
        <v>30</v>
      </c>
      <c r="L83" s="30">
        <v>1</v>
      </c>
      <c r="M83" s="30">
        <v>1</v>
      </c>
      <c r="N83" s="1">
        <v>0.9</v>
      </c>
      <c r="O83" s="1">
        <v>2</v>
      </c>
      <c r="P83" s="1">
        <v>0.5</v>
      </c>
      <c r="Q83" s="1">
        <v>20</v>
      </c>
      <c r="U83" s="14" t="s">
        <v>621</v>
      </c>
      <c r="V83" s="4" t="s">
        <v>352</v>
      </c>
      <c r="W83" s="4" t="s">
        <v>622</v>
      </c>
    </row>
    <row r="84" spans="1:23" x14ac:dyDescent="0.2">
      <c r="B84" s="1" t="s">
        <v>47</v>
      </c>
      <c r="C84" s="1">
        <v>1</v>
      </c>
      <c r="F84" s="3">
        <v>1</v>
      </c>
      <c r="G84" s="1">
        <v>1</v>
      </c>
      <c r="J84" s="3">
        <v>80</v>
      </c>
      <c r="L84" s="30">
        <v>0.1</v>
      </c>
      <c r="N84" s="1">
        <v>0.4</v>
      </c>
      <c r="O84" s="1">
        <v>1</v>
      </c>
      <c r="P84" s="1">
        <v>0.3</v>
      </c>
      <c r="Q84" s="1">
        <v>15</v>
      </c>
      <c r="V84" s="4" t="s">
        <v>91</v>
      </c>
      <c r="W84" s="4" t="s">
        <v>518</v>
      </c>
    </row>
    <row r="85" spans="1:23" x14ac:dyDescent="0.2">
      <c r="B85" s="1" t="s">
        <v>299</v>
      </c>
      <c r="D85" s="1">
        <v>1</v>
      </c>
      <c r="F85" s="3">
        <v>1</v>
      </c>
      <c r="G85" s="1">
        <v>1</v>
      </c>
      <c r="H85" s="1">
        <v>1</v>
      </c>
      <c r="I85" s="1">
        <v>1</v>
      </c>
      <c r="J85" s="3">
        <v>70</v>
      </c>
      <c r="N85" s="1">
        <v>0.3</v>
      </c>
      <c r="O85" s="1">
        <v>1</v>
      </c>
      <c r="P85" s="1">
        <v>0.3</v>
      </c>
      <c r="Q85" s="1">
        <v>10</v>
      </c>
      <c r="V85" s="4" t="s">
        <v>94</v>
      </c>
      <c r="W85" s="4" t="s">
        <v>519</v>
      </c>
    </row>
    <row r="86" spans="1:23" x14ac:dyDescent="0.2">
      <c r="B86" s="1" t="s">
        <v>300</v>
      </c>
      <c r="D86" s="1">
        <v>1</v>
      </c>
      <c r="F86" s="3">
        <v>1</v>
      </c>
      <c r="G86" s="1">
        <v>1</v>
      </c>
      <c r="H86" s="1">
        <v>1</v>
      </c>
      <c r="I86" s="1">
        <v>1</v>
      </c>
      <c r="J86" s="3">
        <v>70</v>
      </c>
      <c r="L86" s="30">
        <v>0.05</v>
      </c>
      <c r="N86" s="1">
        <v>0.3</v>
      </c>
      <c r="O86" s="1">
        <v>1</v>
      </c>
      <c r="P86" s="1">
        <v>0.3</v>
      </c>
      <c r="Q86" s="1">
        <v>10</v>
      </c>
      <c r="V86" s="4" t="s">
        <v>124</v>
      </c>
      <c r="W86" s="4" t="s">
        <v>520</v>
      </c>
    </row>
    <row r="87" spans="1:23" x14ac:dyDescent="0.2">
      <c r="B87" s="1" t="s">
        <v>309</v>
      </c>
      <c r="D87" s="1">
        <v>1</v>
      </c>
      <c r="F87" s="3">
        <v>1</v>
      </c>
      <c r="G87" s="1">
        <v>1</v>
      </c>
      <c r="H87" s="1">
        <v>1</v>
      </c>
      <c r="I87" s="1">
        <v>1</v>
      </c>
      <c r="J87" s="3">
        <v>90</v>
      </c>
      <c r="N87" s="1">
        <v>0.4</v>
      </c>
      <c r="O87" s="1">
        <v>1</v>
      </c>
      <c r="P87" s="1">
        <v>0.4</v>
      </c>
      <c r="Q87" s="2">
        <v>10</v>
      </c>
      <c r="V87" s="4" t="s">
        <v>94</v>
      </c>
      <c r="W87" s="4" t="s">
        <v>521</v>
      </c>
    </row>
    <row r="88" spans="1:23" x14ac:dyDescent="0.2">
      <c r="B88" s="1" t="s">
        <v>301</v>
      </c>
      <c r="D88" s="1">
        <v>1</v>
      </c>
      <c r="F88" s="3">
        <v>1</v>
      </c>
      <c r="G88" s="1">
        <v>1</v>
      </c>
      <c r="H88" s="1">
        <v>1</v>
      </c>
      <c r="I88" s="1">
        <v>1</v>
      </c>
      <c r="J88" s="3">
        <v>80</v>
      </c>
      <c r="N88" s="2">
        <v>0.3</v>
      </c>
      <c r="O88" s="2">
        <v>1</v>
      </c>
      <c r="P88" s="2">
        <v>0.3</v>
      </c>
      <c r="Q88" s="2">
        <v>10</v>
      </c>
      <c r="R88" s="2"/>
      <c r="V88" s="4" t="s">
        <v>124</v>
      </c>
      <c r="W88" s="4" t="s">
        <v>522</v>
      </c>
    </row>
    <row r="89" spans="1:23" x14ac:dyDescent="0.2">
      <c r="B89" s="1" t="s">
        <v>303</v>
      </c>
      <c r="D89" s="1">
        <v>1</v>
      </c>
      <c r="F89" s="3">
        <v>1</v>
      </c>
      <c r="G89" s="1">
        <v>1</v>
      </c>
      <c r="H89" s="1">
        <v>1</v>
      </c>
      <c r="J89" s="3">
        <v>50</v>
      </c>
      <c r="N89" s="1">
        <v>0.5</v>
      </c>
      <c r="O89" s="1">
        <v>1</v>
      </c>
      <c r="P89" s="1">
        <v>0.4</v>
      </c>
      <c r="Q89" s="1">
        <v>15</v>
      </c>
      <c r="R89" s="1">
        <v>50</v>
      </c>
      <c r="V89" s="4" t="s">
        <v>124</v>
      </c>
      <c r="W89" s="4" t="s">
        <v>523</v>
      </c>
    </row>
    <row r="90" spans="1:23" x14ac:dyDescent="0.2">
      <c r="B90" s="1" t="s">
        <v>302</v>
      </c>
      <c r="E90" s="1">
        <v>1</v>
      </c>
      <c r="G90" s="1">
        <v>1</v>
      </c>
      <c r="H90" s="1">
        <v>1</v>
      </c>
      <c r="I90" s="1">
        <v>1</v>
      </c>
      <c r="J90" s="3">
        <v>120</v>
      </c>
      <c r="L90" s="30">
        <v>-0.15</v>
      </c>
      <c r="N90" s="2">
        <v>0.6</v>
      </c>
      <c r="O90" s="2">
        <v>1</v>
      </c>
      <c r="P90" s="2">
        <v>0.5</v>
      </c>
      <c r="Q90" s="1">
        <v>20</v>
      </c>
      <c r="V90" s="4" t="s">
        <v>94</v>
      </c>
      <c r="W90" s="4" t="s">
        <v>524</v>
      </c>
    </row>
    <row r="92" spans="1:23" x14ac:dyDescent="0.2">
      <c r="A92" s="1" t="s">
        <v>28</v>
      </c>
      <c r="B92" s="1" t="s">
        <v>326</v>
      </c>
      <c r="D92" s="1">
        <v>1</v>
      </c>
      <c r="F92" s="3">
        <v>1</v>
      </c>
      <c r="G92" s="1">
        <v>1</v>
      </c>
      <c r="H92" s="1">
        <v>1</v>
      </c>
      <c r="I92" s="1">
        <v>1</v>
      </c>
      <c r="J92" s="3">
        <v>30</v>
      </c>
      <c r="K92" s="1">
        <v>30</v>
      </c>
      <c r="L92" s="30">
        <v>0.05</v>
      </c>
      <c r="M92" s="30">
        <v>0.05</v>
      </c>
      <c r="N92" s="1">
        <v>0.3</v>
      </c>
      <c r="O92" s="1">
        <v>1</v>
      </c>
      <c r="P92" s="1">
        <v>0.3</v>
      </c>
      <c r="Q92" s="1">
        <v>10</v>
      </c>
      <c r="R92" s="1">
        <v>10</v>
      </c>
      <c r="U92" s="4" t="s">
        <v>620</v>
      </c>
      <c r="V92" s="4" t="s">
        <v>91</v>
      </c>
      <c r="W92" s="4" t="s">
        <v>525</v>
      </c>
    </row>
    <row r="93" spans="1:23" x14ac:dyDescent="0.2">
      <c r="B93" s="1" t="s">
        <v>340</v>
      </c>
      <c r="F93" s="3">
        <v>1</v>
      </c>
      <c r="G93" s="1">
        <v>1</v>
      </c>
      <c r="H93" s="1">
        <v>1</v>
      </c>
      <c r="I93" s="1">
        <v>1</v>
      </c>
      <c r="U93" s="14" t="s">
        <v>327</v>
      </c>
      <c r="V93" s="4" t="s">
        <v>623</v>
      </c>
      <c r="W93" s="4" t="s">
        <v>624</v>
      </c>
    </row>
    <row r="94" spans="1:23" x14ac:dyDescent="0.2">
      <c r="B94" s="1" t="s">
        <v>337</v>
      </c>
      <c r="D94" s="1">
        <v>1</v>
      </c>
      <c r="F94" s="3">
        <v>1</v>
      </c>
      <c r="G94" s="1">
        <v>1</v>
      </c>
      <c r="H94" s="1">
        <v>1</v>
      </c>
      <c r="I94" s="1">
        <v>1</v>
      </c>
      <c r="K94" s="1">
        <v>40</v>
      </c>
      <c r="L94" s="30">
        <v>0.15</v>
      </c>
      <c r="N94" s="1">
        <v>0.3</v>
      </c>
      <c r="O94" s="1">
        <v>1</v>
      </c>
      <c r="P94" s="1">
        <v>0.4</v>
      </c>
      <c r="Q94" s="1">
        <v>10</v>
      </c>
      <c r="R94" s="1">
        <v>10</v>
      </c>
      <c r="U94" s="4" t="s">
        <v>92</v>
      </c>
      <c r="V94" s="4" t="s">
        <v>626</v>
      </c>
      <c r="W94" s="4" t="s">
        <v>625</v>
      </c>
    </row>
    <row r="95" spans="1:23" x14ac:dyDescent="0.2">
      <c r="B95" s="1" t="s">
        <v>338</v>
      </c>
      <c r="D95" s="1">
        <v>1</v>
      </c>
      <c r="F95" s="3">
        <v>1</v>
      </c>
      <c r="G95" s="1">
        <v>1</v>
      </c>
      <c r="H95" s="1">
        <v>1</v>
      </c>
      <c r="I95" s="1">
        <v>1</v>
      </c>
      <c r="J95" s="3">
        <v>20</v>
      </c>
      <c r="K95" s="1">
        <v>30</v>
      </c>
      <c r="M95" s="30">
        <v>0.15</v>
      </c>
      <c r="N95" s="1">
        <v>0.3</v>
      </c>
      <c r="O95" s="1">
        <v>1</v>
      </c>
      <c r="P95" s="1">
        <v>0.3</v>
      </c>
      <c r="Q95" s="1">
        <v>10</v>
      </c>
      <c r="U95" s="4" t="s">
        <v>92</v>
      </c>
      <c r="V95" s="4" t="s">
        <v>92</v>
      </c>
      <c r="W95" s="4" t="s">
        <v>526</v>
      </c>
    </row>
    <row r="96" spans="1:23" x14ac:dyDescent="0.2">
      <c r="B96" s="1" t="s">
        <v>339</v>
      </c>
      <c r="D96" s="1">
        <v>1</v>
      </c>
      <c r="F96" s="3">
        <v>1</v>
      </c>
      <c r="G96" s="1">
        <v>1</v>
      </c>
      <c r="H96" s="1">
        <v>1</v>
      </c>
      <c r="I96" s="1">
        <v>1</v>
      </c>
      <c r="J96" s="3">
        <v>10</v>
      </c>
      <c r="K96" s="1">
        <v>40</v>
      </c>
      <c r="L96" s="30">
        <v>0.08</v>
      </c>
      <c r="M96" s="30">
        <v>0.08</v>
      </c>
      <c r="N96" s="1">
        <v>0.3</v>
      </c>
      <c r="O96" s="1">
        <v>1</v>
      </c>
      <c r="P96" s="1">
        <v>0.3</v>
      </c>
      <c r="Q96" s="1">
        <v>10</v>
      </c>
      <c r="U96" s="4" t="s">
        <v>92</v>
      </c>
      <c r="V96" s="4" t="s">
        <v>92</v>
      </c>
      <c r="W96" s="4" t="s">
        <v>527</v>
      </c>
    </row>
  </sheetData>
  <mergeCells count="15">
    <mergeCell ref="S1:S2"/>
    <mergeCell ref="T1:T2"/>
    <mergeCell ref="U1:U2"/>
    <mergeCell ref="V1:V2"/>
    <mergeCell ref="N1:N2"/>
    <mergeCell ref="O1:O2"/>
    <mergeCell ref="P1:P2"/>
    <mergeCell ref="R1:R2"/>
    <mergeCell ref="Q1:Q2"/>
    <mergeCell ref="M1:M2"/>
    <mergeCell ref="C1:E1"/>
    <mergeCell ref="F1:I1"/>
    <mergeCell ref="J1:J2"/>
    <mergeCell ref="K1:K2"/>
    <mergeCell ref="L1:L2"/>
  </mergeCells>
  <phoneticPr fontId="2" type="noConversion"/>
  <conditionalFormatting sqref="J1:K1048576">
    <cfRule type="dataBar" priority="9">
      <dataBar>
        <cfvo type="min"/>
        <cfvo type="max"/>
        <color rgb="FFFFB628"/>
      </dataBar>
      <extLst>
        <ext xmlns:x14="http://schemas.microsoft.com/office/spreadsheetml/2009/9/main" uri="{B025F937-C7B1-47D3-B67F-A62EFF666E3E}">
          <x14:id>{7FE3E37C-0B7D-402E-AB20-D4B618AE074C}</x14:id>
        </ext>
      </extLst>
    </cfRule>
  </conditionalFormatting>
  <conditionalFormatting sqref="N74:P74">
    <cfRule type="dataBar" priority="6">
      <dataBar>
        <cfvo type="min"/>
        <cfvo type="max"/>
        <color rgb="FFFFB628"/>
      </dataBar>
      <extLst>
        <ext xmlns:x14="http://schemas.microsoft.com/office/spreadsheetml/2009/9/main" uri="{B025F937-C7B1-47D3-B67F-A62EFF666E3E}">
          <x14:id>{7542E7B5-7E3A-4FAB-81FA-4D614C426105}</x14:id>
        </ext>
      </extLst>
    </cfRule>
  </conditionalFormatting>
  <conditionalFormatting sqref="J1:J1048576">
    <cfRule type="dataBar" priority="4">
      <dataBar>
        <cfvo type="min"/>
        <cfvo type="max"/>
        <color rgb="FFFFB628"/>
      </dataBar>
      <extLst>
        <ext xmlns:x14="http://schemas.microsoft.com/office/spreadsheetml/2009/9/main" uri="{B025F937-C7B1-47D3-B67F-A62EFF666E3E}">
          <x14:id>{8F39C6AF-7810-461D-803D-2301BA1F8B2C}</x14:id>
        </ext>
      </extLst>
    </cfRule>
  </conditionalFormatting>
  <conditionalFormatting sqref="N88:P88">
    <cfRule type="dataBar" priority="3">
      <dataBar>
        <cfvo type="min"/>
        <cfvo type="max"/>
        <color rgb="FFFFB628"/>
      </dataBar>
      <extLst>
        <ext xmlns:x14="http://schemas.microsoft.com/office/spreadsheetml/2009/9/main" uri="{B025F937-C7B1-47D3-B67F-A62EFF666E3E}">
          <x14:id>{A12E8DC9-8AB7-4363-AACF-448C464D1ED4}</x14:id>
        </ext>
      </extLst>
    </cfRule>
  </conditionalFormatting>
  <conditionalFormatting sqref="N1:P1048576">
    <cfRule type="dataBar" priority="1">
      <dataBar>
        <cfvo type="min"/>
        <cfvo type="max"/>
        <color rgb="FFFFB628"/>
      </dataBar>
      <extLst>
        <ext xmlns:x14="http://schemas.microsoft.com/office/spreadsheetml/2009/9/main" uri="{B025F937-C7B1-47D3-B67F-A62EFF666E3E}">
          <x14:id>{D95EFC06-6588-49E3-8AFB-05D9125C4D24}</x14:id>
        </ext>
      </extLst>
    </cfRule>
  </conditionalFormatting>
  <conditionalFormatting sqref="N89:P1048576 N1:P73 N75:P87">
    <cfRule type="dataBar" priority="12">
      <dataBar>
        <cfvo type="min"/>
        <cfvo type="max"/>
        <color rgb="FFFFB628"/>
      </dataBar>
      <extLst>
        <ext xmlns:x14="http://schemas.microsoft.com/office/spreadsheetml/2009/9/main" uri="{B025F937-C7B1-47D3-B67F-A62EFF666E3E}">
          <x14:id>{C687EA02-BCFE-4B01-86A6-E7FAF1A19516}</x14:id>
        </ext>
      </extLst>
    </cfRule>
  </conditionalFormatting>
  <conditionalFormatting sqref="N89:P1048576 N1:P87">
    <cfRule type="dataBar" priority="16">
      <dataBar>
        <cfvo type="min"/>
        <cfvo type="max"/>
        <color rgb="FFFFB628"/>
      </dataBar>
      <extLst>
        <ext xmlns:x14="http://schemas.microsoft.com/office/spreadsheetml/2009/9/main" uri="{B025F937-C7B1-47D3-B67F-A62EFF666E3E}">
          <x14:id>{03FC7C04-3D28-4BBB-92C1-997DB4E2AA2D}</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FE3E37C-0B7D-402E-AB20-D4B618AE074C}">
            <x14:dataBar minLength="0" maxLength="100" gradient="0">
              <x14:cfvo type="autoMin"/>
              <x14:cfvo type="autoMax"/>
              <x14:negativeFillColor rgb="FFFF0000"/>
              <x14:axisColor rgb="FF000000"/>
            </x14:dataBar>
          </x14:cfRule>
          <xm:sqref>J1:K1048576</xm:sqref>
        </x14:conditionalFormatting>
        <x14:conditionalFormatting xmlns:xm="http://schemas.microsoft.com/office/excel/2006/main">
          <x14:cfRule type="dataBar" id="{7542E7B5-7E3A-4FAB-81FA-4D614C426105}">
            <x14:dataBar minLength="0" maxLength="100" gradient="0">
              <x14:cfvo type="autoMin"/>
              <x14:cfvo type="autoMax"/>
              <x14:negativeFillColor rgb="FFFF0000"/>
              <x14:axisColor rgb="FF000000"/>
            </x14:dataBar>
          </x14:cfRule>
          <xm:sqref>N74:P74</xm:sqref>
        </x14:conditionalFormatting>
        <x14:conditionalFormatting xmlns:xm="http://schemas.microsoft.com/office/excel/2006/main">
          <x14:cfRule type="dataBar" id="{8F39C6AF-7810-461D-803D-2301BA1F8B2C}">
            <x14:dataBar minLength="0" maxLength="100" gradient="0">
              <x14:cfvo type="autoMin"/>
              <x14:cfvo type="autoMax"/>
              <x14:negativeFillColor rgb="FFFF0000"/>
              <x14:axisColor rgb="FF000000"/>
            </x14:dataBar>
          </x14:cfRule>
          <xm:sqref>J1:J1048576</xm:sqref>
        </x14:conditionalFormatting>
        <x14:conditionalFormatting xmlns:xm="http://schemas.microsoft.com/office/excel/2006/main">
          <x14:cfRule type="dataBar" id="{A12E8DC9-8AB7-4363-AACF-448C464D1ED4}">
            <x14:dataBar minLength="0" maxLength="100" gradient="0">
              <x14:cfvo type="autoMin"/>
              <x14:cfvo type="autoMax"/>
              <x14:negativeFillColor rgb="FFFF0000"/>
              <x14:axisColor rgb="FF000000"/>
            </x14:dataBar>
          </x14:cfRule>
          <xm:sqref>N88:P88</xm:sqref>
        </x14:conditionalFormatting>
        <x14:conditionalFormatting xmlns:xm="http://schemas.microsoft.com/office/excel/2006/main">
          <x14:cfRule type="dataBar" id="{D95EFC06-6588-49E3-8AFB-05D9125C4D24}">
            <x14:dataBar minLength="0" maxLength="100" gradient="0">
              <x14:cfvo type="autoMin"/>
              <x14:cfvo type="autoMax"/>
              <x14:negativeFillColor rgb="FFFF0000"/>
              <x14:axisColor rgb="FF000000"/>
            </x14:dataBar>
          </x14:cfRule>
          <xm:sqref>N1:P1048576</xm:sqref>
        </x14:conditionalFormatting>
        <x14:conditionalFormatting xmlns:xm="http://schemas.microsoft.com/office/excel/2006/main">
          <x14:cfRule type="dataBar" id="{C687EA02-BCFE-4B01-86A6-E7FAF1A19516}">
            <x14:dataBar minLength="0" maxLength="100" gradient="0">
              <x14:cfvo type="autoMin"/>
              <x14:cfvo type="autoMax"/>
              <x14:negativeFillColor rgb="FFFF0000"/>
              <x14:axisColor rgb="FF000000"/>
            </x14:dataBar>
          </x14:cfRule>
          <xm:sqref>N89:P1048576 N1:P73 N75:P87</xm:sqref>
        </x14:conditionalFormatting>
        <x14:conditionalFormatting xmlns:xm="http://schemas.microsoft.com/office/excel/2006/main">
          <x14:cfRule type="dataBar" id="{03FC7C04-3D28-4BBB-92C1-997DB4E2AA2D}">
            <x14:dataBar minLength="0" maxLength="100" gradient="0">
              <x14:cfvo type="autoMin"/>
              <x14:cfvo type="autoMax"/>
              <x14:negativeFillColor rgb="FFFF0000"/>
              <x14:axisColor rgb="FF000000"/>
            </x14:dataBar>
          </x14:cfRule>
          <xm:sqref>N89:P1048576 N1:P87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6F42B-4BB2-402E-8EF0-FC889EE96737}">
  <sheetPr codeName="Sheet3"/>
  <dimension ref="A1:H57"/>
  <sheetViews>
    <sheetView workbookViewId="0">
      <pane xSplit="2" ySplit="1" topLeftCell="C23" activePane="bottomRight" state="frozen"/>
      <selection pane="topRight" activeCell="C1" sqref="C1"/>
      <selection pane="bottomLeft" activeCell="A2" sqref="A2"/>
      <selection pane="bottomRight" activeCell="B31" sqref="B31"/>
    </sheetView>
  </sheetViews>
  <sheetFormatPr defaultRowHeight="14.25" x14ac:dyDescent="0.2"/>
  <cols>
    <col min="1" max="1" width="9" style="5"/>
    <col min="2" max="2" width="16.125" style="5" customWidth="1"/>
    <col min="3" max="3" width="5.125" style="7" customWidth="1"/>
    <col min="4" max="4" width="5.125" style="9" customWidth="1"/>
    <col min="5" max="5" width="11" style="31" bestFit="1" customWidth="1"/>
    <col min="6" max="6" width="31.5" style="21" bestFit="1" customWidth="1"/>
    <col min="7" max="7" width="30.375" customWidth="1"/>
    <col min="8" max="8" width="29" customWidth="1"/>
  </cols>
  <sheetData>
    <row r="1" spans="1:8" x14ac:dyDescent="0.2">
      <c r="A1" s="2" t="s">
        <v>0</v>
      </c>
      <c r="B1" s="2" t="s">
        <v>1</v>
      </c>
      <c r="C1" s="38" t="s">
        <v>9</v>
      </c>
      <c r="D1" s="39"/>
      <c r="E1" s="31" t="s">
        <v>32</v>
      </c>
      <c r="F1" s="17" t="s">
        <v>51</v>
      </c>
      <c r="G1" s="8" t="s">
        <v>13</v>
      </c>
      <c r="H1" s="8" t="s">
        <v>33</v>
      </c>
    </row>
    <row r="2" spans="1:8" x14ac:dyDescent="0.2">
      <c r="A2" s="2"/>
      <c r="B2" s="2"/>
      <c r="C2" s="6" t="s">
        <v>10</v>
      </c>
      <c r="D2" s="8" t="s">
        <v>7</v>
      </c>
      <c r="F2" s="19"/>
    </row>
    <row r="3" spans="1:8" x14ac:dyDescent="0.2">
      <c r="A3" s="2" t="s">
        <v>25</v>
      </c>
      <c r="B3" s="2" t="s">
        <v>30</v>
      </c>
      <c r="C3" s="7">
        <v>1</v>
      </c>
      <c r="F3" s="20"/>
      <c r="G3" t="s">
        <v>73</v>
      </c>
      <c r="H3" s="4" t="s">
        <v>528</v>
      </c>
    </row>
    <row r="4" spans="1:8" x14ac:dyDescent="0.2">
      <c r="A4" s="2"/>
      <c r="B4" s="2" t="s">
        <v>125</v>
      </c>
      <c r="C4" s="7">
        <v>1</v>
      </c>
      <c r="E4" s="31">
        <v>0.15</v>
      </c>
      <c r="F4" s="18"/>
      <c r="G4" t="s">
        <v>122</v>
      </c>
      <c r="H4" s="4" t="s">
        <v>529</v>
      </c>
    </row>
    <row r="5" spans="1:8" x14ac:dyDescent="0.2">
      <c r="A5" s="2"/>
      <c r="B5" s="5" t="s">
        <v>57</v>
      </c>
      <c r="C5" s="7">
        <v>1</v>
      </c>
      <c r="D5" s="9">
        <v>1</v>
      </c>
      <c r="F5" s="22" t="s">
        <v>183</v>
      </c>
      <c r="G5" t="s">
        <v>36</v>
      </c>
      <c r="H5" s="4" t="s">
        <v>530</v>
      </c>
    </row>
    <row r="6" spans="1:8" x14ac:dyDescent="0.2">
      <c r="A6" s="2"/>
      <c r="B6" s="2" t="s">
        <v>129</v>
      </c>
      <c r="C6" s="7">
        <v>1</v>
      </c>
      <c r="D6" s="9">
        <v>1</v>
      </c>
      <c r="F6" s="22" t="s">
        <v>182</v>
      </c>
      <c r="G6" t="s">
        <v>36</v>
      </c>
      <c r="H6" s="4" t="s">
        <v>531</v>
      </c>
    </row>
    <row r="7" spans="1:8" x14ac:dyDescent="0.2">
      <c r="A7" s="2"/>
      <c r="B7" s="2" t="s">
        <v>130</v>
      </c>
      <c r="C7" s="7">
        <v>1</v>
      </c>
      <c r="D7" s="9">
        <v>1</v>
      </c>
      <c r="F7" s="21" t="s">
        <v>141</v>
      </c>
      <c r="G7" t="s">
        <v>95</v>
      </c>
      <c r="H7" s="4" t="s">
        <v>532</v>
      </c>
    </row>
    <row r="8" spans="1:8" x14ac:dyDescent="0.2">
      <c r="A8" s="2"/>
      <c r="B8" s="2" t="s">
        <v>140</v>
      </c>
      <c r="C8" s="7">
        <v>1</v>
      </c>
      <c r="E8" s="31">
        <v>0.1</v>
      </c>
      <c r="F8" s="20"/>
      <c r="G8" t="s">
        <v>81</v>
      </c>
      <c r="H8" s="4" t="s">
        <v>533</v>
      </c>
    </row>
    <row r="9" spans="1:8" x14ac:dyDescent="0.2">
      <c r="B9" s="2"/>
      <c r="H9" s="4"/>
    </row>
    <row r="10" spans="1:8" x14ac:dyDescent="0.2">
      <c r="A10" s="5" t="s">
        <v>26</v>
      </c>
      <c r="B10" s="5" t="s">
        <v>102</v>
      </c>
      <c r="C10" s="7">
        <v>1</v>
      </c>
      <c r="G10" t="s">
        <v>94</v>
      </c>
      <c r="H10" s="4" t="s">
        <v>534</v>
      </c>
    </row>
    <row r="11" spans="1:8" x14ac:dyDescent="0.2">
      <c r="B11" s="5" t="s">
        <v>104</v>
      </c>
      <c r="C11" s="7">
        <v>1</v>
      </c>
      <c r="D11" s="9">
        <v>1</v>
      </c>
      <c r="E11" s="31">
        <v>0.1</v>
      </c>
      <c r="G11" t="s">
        <v>107</v>
      </c>
      <c r="H11" s="4" t="s">
        <v>535</v>
      </c>
    </row>
    <row r="12" spans="1:8" x14ac:dyDescent="0.2">
      <c r="B12" s="5" t="s">
        <v>106</v>
      </c>
      <c r="C12" s="7">
        <v>1</v>
      </c>
      <c r="D12" s="9">
        <v>1</v>
      </c>
      <c r="F12" s="26" t="s">
        <v>108</v>
      </c>
      <c r="G12" t="s">
        <v>108</v>
      </c>
      <c r="H12" s="4" t="s">
        <v>536</v>
      </c>
    </row>
    <row r="13" spans="1:8" x14ac:dyDescent="0.2">
      <c r="B13" s="5" t="s">
        <v>110</v>
      </c>
      <c r="C13" s="7">
        <v>1</v>
      </c>
      <c r="D13" s="9">
        <v>1</v>
      </c>
      <c r="F13" s="26" t="s">
        <v>111</v>
      </c>
      <c r="G13" t="s">
        <v>111</v>
      </c>
      <c r="H13" s="4" t="s">
        <v>537</v>
      </c>
    </row>
    <row r="14" spans="1:8" x14ac:dyDescent="0.2">
      <c r="B14" s="5" t="s">
        <v>117</v>
      </c>
      <c r="C14" s="7">
        <v>1</v>
      </c>
      <c r="D14" s="23">
        <v>1</v>
      </c>
      <c r="F14" s="18" t="s">
        <v>94</v>
      </c>
      <c r="G14" t="s">
        <v>94</v>
      </c>
      <c r="H14" s="4" t="s">
        <v>538</v>
      </c>
    </row>
    <row r="15" spans="1:8" x14ac:dyDescent="0.2">
      <c r="D15" s="23"/>
      <c r="F15" s="18"/>
      <c r="H15" s="4"/>
    </row>
    <row r="16" spans="1:8" x14ac:dyDescent="0.2">
      <c r="A16" s="5" t="s">
        <v>29</v>
      </c>
      <c r="B16" s="5" t="s">
        <v>202</v>
      </c>
      <c r="C16" s="7">
        <v>1</v>
      </c>
      <c r="D16" s="23"/>
      <c r="F16" s="18"/>
      <c r="G16" t="s">
        <v>94</v>
      </c>
      <c r="H16" s="4" t="s">
        <v>539</v>
      </c>
    </row>
    <row r="17" spans="1:8" x14ac:dyDescent="0.2">
      <c r="B17" s="5" t="s">
        <v>204</v>
      </c>
      <c r="C17" s="7">
        <v>1</v>
      </c>
      <c r="D17" s="23">
        <v>1</v>
      </c>
      <c r="F17" s="18"/>
      <c r="G17" t="s">
        <v>81</v>
      </c>
      <c r="H17" s="4" t="s">
        <v>540</v>
      </c>
    </row>
    <row r="18" spans="1:8" x14ac:dyDescent="0.2">
      <c r="B18" s="5" t="s">
        <v>209</v>
      </c>
      <c r="C18" s="7">
        <v>1</v>
      </c>
      <c r="D18" s="23">
        <v>1</v>
      </c>
      <c r="F18" s="18"/>
      <c r="G18" t="s">
        <v>107</v>
      </c>
      <c r="H18" s="4" t="s">
        <v>541</v>
      </c>
    </row>
    <row r="19" spans="1:8" x14ac:dyDescent="0.2">
      <c r="D19" s="23"/>
      <c r="F19" s="18"/>
      <c r="H19" s="4"/>
    </row>
    <row r="20" spans="1:8" x14ac:dyDescent="0.2">
      <c r="A20" s="5" t="s">
        <v>49</v>
      </c>
      <c r="B20" s="5" t="s">
        <v>222</v>
      </c>
      <c r="C20" s="7">
        <v>1</v>
      </c>
      <c r="D20" s="23">
        <v>1</v>
      </c>
      <c r="F20" s="18"/>
      <c r="G20" t="s">
        <v>81</v>
      </c>
      <c r="H20" s="4" t="s">
        <v>542</v>
      </c>
    </row>
    <row r="21" spans="1:8" x14ac:dyDescent="0.2">
      <c r="B21" s="5" t="s">
        <v>228</v>
      </c>
      <c r="C21" s="7">
        <v>1</v>
      </c>
      <c r="D21" s="23">
        <v>1</v>
      </c>
      <c r="F21" s="18"/>
      <c r="G21" t="s">
        <v>107</v>
      </c>
      <c r="H21" s="4" t="s">
        <v>543</v>
      </c>
    </row>
    <row r="22" spans="1:8" x14ac:dyDescent="0.2">
      <c r="B22" s="5" t="s">
        <v>232</v>
      </c>
      <c r="C22" s="7">
        <v>1</v>
      </c>
      <c r="D22" s="23">
        <v>1</v>
      </c>
      <c r="F22" s="18"/>
      <c r="G22" s="21" t="s">
        <v>150</v>
      </c>
      <c r="H22" s="4" t="s">
        <v>544</v>
      </c>
    </row>
    <row r="23" spans="1:8" x14ac:dyDescent="0.2">
      <c r="D23" s="23"/>
      <c r="F23" s="18"/>
      <c r="H23" s="4"/>
    </row>
    <row r="24" spans="1:8" x14ac:dyDescent="0.2">
      <c r="A24" s="5" t="s">
        <v>24</v>
      </c>
      <c r="B24" s="5" t="s">
        <v>184</v>
      </c>
      <c r="C24" s="7">
        <v>1</v>
      </c>
      <c r="D24" s="9">
        <v>1</v>
      </c>
      <c r="G24" t="s">
        <v>92</v>
      </c>
      <c r="H24" s="4" t="s">
        <v>545</v>
      </c>
    </row>
    <row r="25" spans="1:8" x14ac:dyDescent="0.2">
      <c r="B25" s="5" t="s">
        <v>186</v>
      </c>
      <c r="C25" s="7">
        <v>1</v>
      </c>
      <c r="D25" s="9">
        <v>1</v>
      </c>
      <c r="G25" t="s">
        <v>107</v>
      </c>
      <c r="H25" s="4" t="s">
        <v>546</v>
      </c>
    </row>
    <row r="26" spans="1:8" x14ac:dyDescent="0.2">
      <c r="B26" s="5" t="s">
        <v>187</v>
      </c>
      <c r="C26" s="7">
        <v>1</v>
      </c>
      <c r="D26" s="9">
        <v>1</v>
      </c>
      <c r="G26" s="21" t="s">
        <v>150</v>
      </c>
      <c r="H26" s="4" t="s">
        <v>547</v>
      </c>
    </row>
    <row r="27" spans="1:8" x14ac:dyDescent="0.2">
      <c r="B27" s="5" t="s">
        <v>188</v>
      </c>
      <c r="C27" s="7">
        <v>1</v>
      </c>
      <c r="D27" s="9">
        <v>1</v>
      </c>
      <c r="G27" s="21" t="s">
        <v>185</v>
      </c>
      <c r="H27" s="4" t="s">
        <v>548</v>
      </c>
    </row>
    <row r="28" spans="1:8" x14ac:dyDescent="0.2">
      <c r="F28" s="26"/>
      <c r="H28" s="4"/>
    </row>
    <row r="29" spans="1:8" x14ac:dyDescent="0.2">
      <c r="A29" s="5" t="s">
        <v>27</v>
      </c>
      <c r="B29" s="5" t="s">
        <v>74</v>
      </c>
      <c r="C29" s="7">
        <v>1</v>
      </c>
      <c r="G29" t="s">
        <v>95</v>
      </c>
      <c r="H29" s="4" t="s">
        <v>549</v>
      </c>
    </row>
    <row r="30" spans="1:8" x14ac:dyDescent="0.2">
      <c r="B30" s="5" t="s">
        <v>78</v>
      </c>
      <c r="C30" s="7">
        <v>1</v>
      </c>
      <c r="D30" s="9">
        <v>1</v>
      </c>
      <c r="G30" t="s">
        <v>94</v>
      </c>
      <c r="H30" s="4" t="s">
        <v>550</v>
      </c>
    </row>
    <row r="31" spans="1:8" x14ac:dyDescent="0.2">
      <c r="B31" s="5" t="s">
        <v>96</v>
      </c>
      <c r="C31" s="7">
        <v>1</v>
      </c>
      <c r="D31" s="9">
        <v>1</v>
      </c>
      <c r="G31" t="s">
        <v>92</v>
      </c>
      <c r="H31" s="4" t="s">
        <v>551</v>
      </c>
    </row>
    <row r="32" spans="1:8" x14ac:dyDescent="0.2">
      <c r="B32" s="5" t="s">
        <v>99</v>
      </c>
      <c r="C32" s="7">
        <v>1</v>
      </c>
      <c r="D32" s="9">
        <v>1</v>
      </c>
      <c r="F32" s="21" t="s">
        <v>100</v>
      </c>
      <c r="G32" t="s">
        <v>92</v>
      </c>
      <c r="H32" s="4" t="s">
        <v>552</v>
      </c>
    </row>
    <row r="33" spans="1:8" x14ac:dyDescent="0.2">
      <c r="H33" s="4" t="s">
        <v>553</v>
      </c>
    </row>
    <row r="34" spans="1:8" x14ac:dyDescent="0.2">
      <c r="H34" s="4"/>
    </row>
    <row r="35" spans="1:8" x14ac:dyDescent="0.2">
      <c r="A35" s="5" t="s">
        <v>17</v>
      </c>
      <c r="B35" s="5" t="s">
        <v>149</v>
      </c>
      <c r="C35" s="7">
        <v>1</v>
      </c>
      <c r="D35" s="9">
        <v>1</v>
      </c>
      <c r="F35" s="21" t="s">
        <v>613</v>
      </c>
      <c r="G35" t="s">
        <v>614</v>
      </c>
      <c r="H35" s="4" t="s">
        <v>554</v>
      </c>
    </row>
    <row r="36" spans="1:8" x14ac:dyDescent="0.2">
      <c r="B36" s="5" t="s">
        <v>234</v>
      </c>
      <c r="C36" s="7">
        <v>1</v>
      </c>
      <c r="D36" s="23">
        <v>1</v>
      </c>
      <c r="F36" s="21" t="s">
        <v>108</v>
      </c>
      <c r="G36" s="21" t="s">
        <v>108</v>
      </c>
      <c r="H36" s="4" t="s">
        <v>555</v>
      </c>
    </row>
    <row r="37" spans="1:8" x14ac:dyDescent="0.2">
      <c r="B37" s="5" t="s">
        <v>237</v>
      </c>
      <c r="C37" s="7">
        <v>1</v>
      </c>
      <c r="D37" s="23"/>
      <c r="G37" t="s">
        <v>107</v>
      </c>
      <c r="H37" s="4" t="s">
        <v>556</v>
      </c>
    </row>
    <row r="38" spans="1:8" x14ac:dyDescent="0.2">
      <c r="B38" s="5" t="s">
        <v>445</v>
      </c>
      <c r="C38" s="7">
        <v>1</v>
      </c>
      <c r="F38" s="18" t="s">
        <v>111</v>
      </c>
      <c r="G38" t="s">
        <v>111</v>
      </c>
      <c r="H38" s="4" t="s">
        <v>557</v>
      </c>
    </row>
    <row r="39" spans="1:8" x14ac:dyDescent="0.2">
      <c r="B39" s="5" t="s">
        <v>238</v>
      </c>
      <c r="C39" s="7">
        <v>1</v>
      </c>
      <c r="D39" s="9">
        <v>1</v>
      </c>
      <c r="F39" s="21" t="s">
        <v>239</v>
      </c>
      <c r="G39" t="s">
        <v>107</v>
      </c>
      <c r="H39" s="4" t="s">
        <v>558</v>
      </c>
    </row>
    <row r="40" spans="1:8" x14ac:dyDescent="0.2">
      <c r="H40" s="4"/>
    </row>
    <row r="41" spans="1:8" x14ac:dyDescent="0.2">
      <c r="A41" s="5" t="s">
        <v>23</v>
      </c>
      <c r="B41" s="5" t="s">
        <v>262</v>
      </c>
      <c r="C41" s="7">
        <v>1</v>
      </c>
      <c r="E41" s="31">
        <v>0.1</v>
      </c>
      <c r="F41" s="21" t="s">
        <v>100</v>
      </c>
      <c r="G41" t="s">
        <v>91</v>
      </c>
      <c r="H41" s="4" t="s">
        <v>639</v>
      </c>
    </row>
    <row r="42" spans="1:8" x14ac:dyDescent="0.2">
      <c r="B42" s="5" t="s">
        <v>265</v>
      </c>
      <c r="C42" s="7">
        <v>1</v>
      </c>
      <c r="F42" s="21" t="s">
        <v>638</v>
      </c>
      <c r="G42" t="s">
        <v>92</v>
      </c>
      <c r="H42" s="4" t="s">
        <v>559</v>
      </c>
    </row>
    <row r="43" spans="1:8" x14ac:dyDescent="0.2">
      <c r="H43" s="4"/>
    </row>
    <row r="44" spans="1:8" x14ac:dyDescent="0.2">
      <c r="A44" s="5" t="s">
        <v>273</v>
      </c>
      <c r="B44" s="5" t="s">
        <v>295</v>
      </c>
      <c r="C44" s="7">
        <v>1</v>
      </c>
      <c r="D44" s="9">
        <v>1</v>
      </c>
      <c r="F44" s="21" t="s">
        <v>108</v>
      </c>
      <c r="G44" t="s">
        <v>107</v>
      </c>
      <c r="H44" s="4" t="s">
        <v>560</v>
      </c>
    </row>
    <row r="45" spans="1:8" x14ac:dyDescent="0.2">
      <c r="B45" s="5" t="s">
        <v>296</v>
      </c>
      <c r="C45" s="7">
        <v>1</v>
      </c>
      <c r="G45" t="s">
        <v>107</v>
      </c>
      <c r="H45" s="4" t="s">
        <v>561</v>
      </c>
    </row>
    <row r="46" spans="1:8" x14ac:dyDescent="0.2">
      <c r="B46" s="5" t="s">
        <v>297</v>
      </c>
      <c r="C46" s="7">
        <v>1</v>
      </c>
      <c r="G46" t="s">
        <v>107</v>
      </c>
      <c r="H46" s="4" t="s">
        <v>562</v>
      </c>
    </row>
    <row r="47" spans="1:8" x14ac:dyDescent="0.2">
      <c r="B47" s="5" t="s">
        <v>298</v>
      </c>
      <c r="C47" s="7">
        <v>1</v>
      </c>
      <c r="D47" s="9">
        <v>1</v>
      </c>
      <c r="F47" s="18" t="s">
        <v>111</v>
      </c>
      <c r="G47" t="s">
        <v>107</v>
      </c>
      <c r="H47" s="4" t="s">
        <v>563</v>
      </c>
    </row>
    <row r="48" spans="1:8" x14ac:dyDescent="0.2">
      <c r="H48" s="4"/>
    </row>
    <row r="49" spans="1:8" ht="28.5" x14ac:dyDescent="0.2">
      <c r="A49" s="5" t="s">
        <v>21</v>
      </c>
      <c r="B49" s="5" t="s">
        <v>308</v>
      </c>
      <c r="C49" s="7">
        <v>1</v>
      </c>
      <c r="D49" s="9">
        <v>1</v>
      </c>
      <c r="F49" s="18" t="s">
        <v>310</v>
      </c>
      <c r="G49" s="21" t="s">
        <v>233</v>
      </c>
      <c r="H49" s="4" t="s">
        <v>564</v>
      </c>
    </row>
    <row r="50" spans="1:8" x14ac:dyDescent="0.2">
      <c r="B50" s="5" t="s">
        <v>304</v>
      </c>
      <c r="C50" s="7">
        <v>1</v>
      </c>
      <c r="D50" s="9">
        <v>1</v>
      </c>
      <c r="E50" s="31">
        <v>0.05</v>
      </c>
      <c r="F50" s="21" t="s">
        <v>306</v>
      </c>
      <c r="G50" t="s">
        <v>107</v>
      </c>
      <c r="H50" s="4" t="s">
        <v>565</v>
      </c>
    </row>
    <row r="51" spans="1:8" x14ac:dyDescent="0.2">
      <c r="B51" s="5" t="s">
        <v>316</v>
      </c>
      <c r="C51" s="7">
        <v>1</v>
      </c>
      <c r="D51" s="23">
        <v>1</v>
      </c>
      <c r="E51" s="31">
        <v>0.1</v>
      </c>
      <c r="F51" s="18" t="s">
        <v>317</v>
      </c>
      <c r="G51" t="s">
        <v>107</v>
      </c>
      <c r="H51" s="4" t="s">
        <v>566</v>
      </c>
    </row>
    <row r="52" spans="1:8" ht="28.5" x14ac:dyDescent="0.2">
      <c r="B52" s="5" t="s">
        <v>307</v>
      </c>
      <c r="C52" s="7">
        <v>1</v>
      </c>
      <c r="D52" s="23">
        <v>1</v>
      </c>
      <c r="F52" s="18" t="s">
        <v>311</v>
      </c>
      <c r="G52" t="s">
        <v>305</v>
      </c>
      <c r="H52" s="4" t="s">
        <v>567</v>
      </c>
    </row>
    <row r="53" spans="1:8" x14ac:dyDescent="0.2">
      <c r="B53" s="5" t="s">
        <v>45</v>
      </c>
      <c r="C53" s="7">
        <v>1</v>
      </c>
      <c r="D53" s="23">
        <v>1</v>
      </c>
      <c r="F53" s="21" t="s">
        <v>638</v>
      </c>
      <c r="G53" s="21" t="s">
        <v>108</v>
      </c>
      <c r="H53" s="4" t="s">
        <v>568</v>
      </c>
    </row>
    <row r="54" spans="1:8" x14ac:dyDescent="0.2">
      <c r="B54" s="5" t="s">
        <v>315</v>
      </c>
      <c r="C54" s="7">
        <v>1</v>
      </c>
      <c r="D54" s="23">
        <v>1</v>
      </c>
      <c r="F54" s="21" t="s">
        <v>637</v>
      </c>
      <c r="G54" t="s">
        <v>94</v>
      </c>
      <c r="H54" s="4" t="s">
        <v>569</v>
      </c>
    </row>
    <row r="55" spans="1:8" x14ac:dyDescent="0.2">
      <c r="H55" s="4"/>
    </row>
    <row r="56" spans="1:8" x14ac:dyDescent="0.2">
      <c r="A56" s="2" t="s">
        <v>28</v>
      </c>
      <c r="B56" s="5" t="s">
        <v>328</v>
      </c>
      <c r="C56" s="7">
        <v>1</v>
      </c>
      <c r="D56" s="23">
        <v>1</v>
      </c>
      <c r="F56" s="18" t="s">
        <v>325</v>
      </c>
      <c r="G56" t="s">
        <v>92</v>
      </c>
      <c r="H56" s="4" t="s">
        <v>570</v>
      </c>
    </row>
    <row r="57" spans="1:8" ht="28.5" x14ac:dyDescent="0.2">
      <c r="B57" s="5" t="s">
        <v>341</v>
      </c>
      <c r="C57" s="7">
        <v>1</v>
      </c>
      <c r="D57" s="9">
        <v>1</v>
      </c>
      <c r="F57" s="15" t="s">
        <v>327</v>
      </c>
      <c r="H57" s="4" t="s">
        <v>571</v>
      </c>
    </row>
  </sheetData>
  <mergeCells count="1">
    <mergeCell ref="C1:D1"/>
  </mergeCells>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9C67E-4237-478B-81E0-48BC15B60241}">
  <sheetPr codeName="Sheet4"/>
  <dimension ref="A1:G60"/>
  <sheetViews>
    <sheetView workbookViewId="0">
      <pane xSplit="2" ySplit="1" topLeftCell="C29" activePane="bottomRight" state="frozen"/>
      <selection pane="topRight" activeCell="C1" sqref="C1"/>
      <selection pane="bottomLeft" activeCell="A2" sqref="A2"/>
      <selection pane="bottomRight" activeCell="B45" sqref="B45"/>
    </sheetView>
  </sheetViews>
  <sheetFormatPr defaultRowHeight="14.25" x14ac:dyDescent="0.2"/>
  <cols>
    <col min="1" max="1" width="9" style="5"/>
    <col min="2" max="2" width="15.375" style="5" customWidth="1"/>
    <col min="3" max="3" width="9" style="10"/>
    <col min="4" max="4" width="11" style="32" bestFit="1" customWidth="1"/>
    <col min="5" max="5" width="29" style="21" customWidth="1"/>
    <col min="6" max="6" width="30.375" customWidth="1"/>
    <col min="7" max="7" width="34" style="18" customWidth="1"/>
  </cols>
  <sheetData>
    <row r="1" spans="1:7" x14ac:dyDescent="0.2">
      <c r="A1" s="2" t="s">
        <v>0</v>
      </c>
      <c r="B1" s="2" t="s">
        <v>1</v>
      </c>
      <c r="C1" s="3" t="s">
        <v>116</v>
      </c>
      <c r="D1" s="32" t="s">
        <v>35</v>
      </c>
      <c r="E1" s="17" t="s">
        <v>51</v>
      </c>
      <c r="F1" s="8" t="s">
        <v>13</v>
      </c>
      <c r="G1" s="17" t="s">
        <v>33</v>
      </c>
    </row>
    <row r="2" spans="1:7" x14ac:dyDescent="0.2">
      <c r="A2" s="2" t="s">
        <v>25</v>
      </c>
      <c r="B2" s="2" t="s">
        <v>34</v>
      </c>
      <c r="C2" s="3">
        <v>5</v>
      </c>
      <c r="D2" s="32">
        <v>0.05</v>
      </c>
      <c r="E2" s="20"/>
      <c r="F2" t="s">
        <v>124</v>
      </c>
    </row>
    <row r="3" spans="1:7" x14ac:dyDescent="0.2">
      <c r="A3" s="2"/>
      <c r="B3" s="2" t="s">
        <v>123</v>
      </c>
      <c r="C3" s="3">
        <v>5</v>
      </c>
      <c r="E3" s="20"/>
      <c r="F3" t="s">
        <v>95</v>
      </c>
    </row>
    <row r="4" spans="1:7" ht="57" x14ac:dyDescent="0.2">
      <c r="A4" s="2"/>
      <c r="B4" s="2" t="s">
        <v>136</v>
      </c>
      <c r="C4" s="3">
        <v>10</v>
      </c>
      <c r="D4" s="32">
        <v>0.1</v>
      </c>
      <c r="E4" s="20"/>
      <c r="F4" t="s">
        <v>91</v>
      </c>
      <c r="G4" s="18" t="s">
        <v>137</v>
      </c>
    </row>
    <row r="5" spans="1:7" x14ac:dyDescent="0.2">
      <c r="A5" s="2"/>
      <c r="C5" s="3"/>
      <c r="E5" s="20"/>
    </row>
    <row r="6" spans="1:7" x14ac:dyDescent="0.2">
      <c r="A6" s="2"/>
      <c r="B6" s="2"/>
      <c r="C6" s="3"/>
      <c r="E6" s="20"/>
    </row>
    <row r="7" spans="1:7" x14ac:dyDescent="0.2">
      <c r="B7" s="2"/>
      <c r="C7" s="3"/>
    </row>
    <row r="9" spans="1:7" x14ac:dyDescent="0.2">
      <c r="A9" s="5" t="s">
        <v>26</v>
      </c>
      <c r="B9" s="5" t="s">
        <v>64</v>
      </c>
      <c r="C9" s="10">
        <v>20</v>
      </c>
      <c r="D9" s="32">
        <v>0.3</v>
      </c>
      <c r="E9" s="21" t="s">
        <v>114</v>
      </c>
      <c r="F9" t="s">
        <v>92</v>
      </c>
      <c r="G9" s="18" t="s">
        <v>115</v>
      </c>
    </row>
    <row r="10" spans="1:7" x14ac:dyDescent="0.2">
      <c r="B10" s="5" t="s">
        <v>101</v>
      </c>
      <c r="C10" s="10">
        <v>5</v>
      </c>
      <c r="F10" t="s">
        <v>91</v>
      </c>
    </row>
    <row r="11" spans="1:7" x14ac:dyDescent="0.2">
      <c r="B11" s="5" t="s">
        <v>113</v>
      </c>
      <c r="C11" s="10">
        <v>5</v>
      </c>
      <c r="F11" t="s">
        <v>92</v>
      </c>
    </row>
    <row r="14" spans="1:7" x14ac:dyDescent="0.2">
      <c r="A14" s="5" t="s">
        <v>29</v>
      </c>
      <c r="B14" s="5" t="s">
        <v>203</v>
      </c>
      <c r="C14" s="10">
        <v>5</v>
      </c>
      <c r="F14" t="s">
        <v>91</v>
      </c>
    </row>
    <row r="15" spans="1:7" x14ac:dyDescent="0.2">
      <c r="B15" s="5" t="s">
        <v>205</v>
      </c>
      <c r="C15" s="10">
        <v>5</v>
      </c>
      <c r="F15" t="s">
        <v>94</v>
      </c>
    </row>
    <row r="16" spans="1:7" x14ac:dyDescent="0.2">
      <c r="B16" s="5" t="s">
        <v>210</v>
      </c>
      <c r="C16" s="10">
        <v>5</v>
      </c>
      <c r="F16" t="s">
        <v>92</v>
      </c>
    </row>
    <row r="17" spans="1:7" x14ac:dyDescent="0.2">
      <c r="B17" s="5" t="s">
        <v>207</v>
      </c>
      <c r="C17" s="10">
        <v>20</v>
      </c>
      <c r="D17" s="32">
        <v>0.3</v>
      </c>
      <c r="E17" s="21" t="s">
        <v>114</v>
      </c>
      <c r="F17" t="s">
        <v>92</v>
      </c>
      <c r="G17" s="18" t="s">
        <v>208</v>
      </c>
    </row>
    <row r="19" spans="1:7" x14ac:dyDescent="0.2">
      <c r="A19" s="5" t="s">
        <v>49</v>
      </c>
      <c r="B19" s="5" t="s">
        <v>221</v>
      </c>
      <c r="C19" s="10">
        <v>5</v>
      </c>
      <c r="F19" t="s">
        <v>91</v>
      </c>
    </row>
    <row r="20" spans="1:7" x14ac:dyDescent="0.2">
      <c r="B20" s="5" t="s">
        <v>229</v>
      </c>
      <c r="C20" s="10">
        <v>5</v>
      </c>
      <c r="F20" t="s">
        <v>92</v>
      </c>
    </row>
    <row r="21" spans="1:7" x14ac:dyDescent="0.2">
      <c r="B21" s="5" t="s">
        <v>230</v>
      </c>
      <c r="C21" s="10">
        <v>5</v>
      </c>
      <c r="F21" t="s">
        <v>95</v>
      </c>
    </row>
    <row r="22" spans="1:7" x14ac:dyDescent="0.2">
      <c r="B22" s="5" t="s">
        <v>231</v>
      </c>
      <c r="C22" s="10">
        <v>5</v>
      </c>
      <c r="F22" t="s">
        <v>92</v>
      </c>
    </row>
    <row r="24" spans="1:7" x14ac:dyDescent="0.2">
      <c r="A24" s="5" t="s">
        <v>24</v>
      </c>
      <c r="B24" s="5" t="s">
        <v>158</v>
      </c>
      <c r="C24" s="10">
        <v>5</v>
      </c>
      <c r="F24" t="s">
        <v>91</v>
      </c>
    </row>
    <row r="25" spans="1:7" x14ac:dyDescent="0.2">
      <c r="B25" s="5" t="s">
        <v>159</v>
      </c>
      <c r="C25" s="10">
        <v>5</v>
      </c>
      <c r="F25" t="s">
        <v>92</v>
      </c>
    </row>
    <row r="26" spans="1:7" x14ac:dyDescent="0.2">
      <c r="B26" s="5" t="s">
        <v>162</v>
      </c>
      <c r="C26" s="10">
        <v>5</v>
      </c>
      <c r="F26" t="s">
        <v>95</v>
      </c>
    </row>
    <row r="27" spans="1:7" x14ac:dyDescent="0.2">
      <c r="B27" s="5" t="s">
        <v>160</v>
      </c>
      <c r="C27" s="10">
        <v>5</v>
      </c>
      <c r="F27" t="s">
        <v>124</v>
      </c>
    </row>
    <row r="29" spans="1:7" x14ac:dyDescent="0.2">
      <c r="A29" s="5" t="s">
        <v>27</v>
      </c>
      <c r="B29" s="5" t="s">
        <v>80</v>
      </c>
      <c r="C29" s="10">
        <v>15</v>
      </c>
      <c r="E29" s="18" t="s">
        <v>93</v>
      </c>
      <c r="F29" s="18" t="s">
        <v>354</v>
      </c>
      <c r="G29" s="18" t="s">
        <v>90</v>
      </c>
    </row>
    <row r="30" spans="1:7" ht="28.5" x14ac:dyDescent="0.2">
      <c r="B30" s="5" t="s">
        <v>82</v>
      </c>
      <c r="C30" s="10">
        <v>5</v>
      </c>
      <c r="E30" s="21" t="s">
        <v>89</v>
      </c>
      <c r="F30" t="s">
        <v>92</v>
      </c>
      <c r="G30" s="18" t="s">
        <v>88</v>
      </c>
    </row>
    <row r="31" spans="1:7" x14ac:dyDescent="0.2">
      <c r="B31" s="5" t="s">
        <v>86</v>
      </c>
      <c r="C31" s="10">
        <v>5</v>
      </c>
      <c r="F31" t="s">
        <v>194</v>
      </c>
    </row>
    <row r="32" spans="1:7" x14ac:dyDescent="0.2">
      <c r="B32" s="5" t="s">
        <v>87</v>
      </c>
      <c r="C32" s="10">
        <v>5</v>
      </c>
      <c r="F32" t="s">
        <v>206</v>
      </c>
    </row>
    <row r="33" spans="1:7" x14ac:dyDescent="0.2">
      <c r="B33" s="5" t="s">
        <v>97</v>
      </c>
      <c r="C33" s="10">
        <v>5</v>
      </c>
      <c r="D33" s="32">
        <v>0.05</v>
      </c>
      <c r="E33" s="21" t="s">
        <v>98</v>
      </c>
      <c r="F33" t="s">
        <v>194</v>
      </c>
    </row>
    <row r="35" spans="1:7" x14ac:dyDescent="0.2">
      <c r="A35" s="5" t="s">
        <v>17</v>
      </c>
      <c r="B35" s="5" t="s">
        <v>235</v>
      </c>
      <c r="C35" s="10">
        <v>5</v>
      </c>
      <c r="E35" s="18" t="s">
        <v>233</v>
      </c>
      <c r="F35" s="18" t="s">
        <v>233</v>
      </c>
    </row>
    <row r="36" spans="1:7" x14ac:dyDescent="0.2">
      <c r="B36" s="5" t="s">
        <v>152</v>
      </c>
      <c r="C36" s="10">
        <v>20</v>
      </c>
      <c r="D36" s="32">
        <v>0.3</v>
      </c>
      <c r="E36" s="21" t="s">
        <v>114</v>
      </c>
      <c r="F36" t="s">
        <v>92</v>
      </c>
    </row>
    <row r="37" spans="1:7" x14ac:dyDescent="0.2">
      <c r="B37" s="5" t="s">
        <v>236</v>
      </c>
      <c r="C37" s="10">
        <v>5</v>
      </c>
      <c r="F37" t="s">
        <v>92</v>
      </c>
    </row>
    <row r="39" spans="1:7" x14ac:dyDescent="0.2">
      <c r="A39" s="5" t="s">
        <v>23</v>
      </c>
      <c r="B39" s="5" t="s">
        <v>245</v>
      </c>
      <c r="C39" s="10">
        <v>10</v>
      </c>
      <c r="D39" s="32">
        <v>0.4</v>
      </c>
      <c r="E39" s="18" t="s">
        <v>246</v>
      </c>
      <c r="F39" t="s">
        <v>92</v>
      </c>
    </row>
    <row r="40" spans="1:7" x14ac:dyDescent="0.2">
      <c r="B40" s="5" t="s">
        <v>264</v>
      </c>
      <c r="C40" s="10">
        <v>6</v>
      </c>
      <c r="D40" s="32">
        <v>0.1</v>
      </c>
      <c r="F40" t="s">
        <v>91</v>
      </c>
      <c r="G40" s="18" t="s">
        <v>247</v>
      </c>
    </row>
    <row r="41" spans="1:7" x14ac:dyDescent="0.2">
      <c r="B41" s="5" t="s">
        <v>263</v>
      </c>
      <c r="C41" s="10">
        <v>8</v>
      </c>
      <c r="D41" s="32">
        <v>0.2</v>
      </c>
      <c r="F41" t="s">
        <v>92</v>
      </c>
    </row>
    <row r="42" spans="1:7" x14ac:dyDescent="0.2">
      <c r="B42" s="5" t="s">
        <v>269</v>
      </c>
      <c r="C42" s="10">
        <v>5</v>
      </c>
      <c r="D42" s="32">
        <v>0.05</v>
      </c>
      <c r="F42" t="s">
        <v>92</v>
      </c>
    </row>
    <row r="43" spans="1:7" x14ac:dyDescent="0.2">
      <c r="B43" s="5" t="s">
        <v>268</v>
      </c>
      <c r="C43" s="10">
        <v>5</v>
      </c>
      <c r="D43" s="32">
        <v>0.1</v>
      </c>
      <c r="F43" t="s">
        <v>218</v>
      </c>
    </row>
    <row r="44" spans="1:7" x14ac:dyDescent="0.2">
      <c r="B44" s="5" t="s">
        <v>266</v>
      </c>
      <c r="C44" s="10">
        <v>7</v>
      </c>
      <c r="E44" s="18" t="s">
        <v>261</v>
      </c>
      <c r="F44" t="s">
        <v>91</v>
      </c>
      <c r="G44" s="18" t="s">
        <v>267</v>
      </c>
    </row>
    <row r="45" spans="1:7" x14ac:dyDescent="0.2">
      <c r="B45" s="5" t="s">
        <v>270</v>
      </c>
      <c r="C45" s="10">
        <v>5</v>
      </c>
      <c r="D45" s="32">
        <v>0.1</v>
      </c>
      <c r="E45" s="18" t="s">
        <v>272</v>
      </c>
      <c r="F45" t="s">
        <v>92</v>
      </c>
      <c r="G45" s="18" t="s">
        <v>271</v>
      </c>
    </row>
    <row r="47" spans="1:7" x14ac:dyDescent="0.2">
      <c r="A47" s="5" t="s">
        <v>273</v>
      </c>
      <c r="B47" s="5" t="s">
        <v>289</v>
      </c>
      <c r="C47" s="10">
        <v>5</v>
      </c>
      <c r="F47" t="s">
        <v>92</v>
      </c>
    </row>
    <row r="48" spans="1:7" x14ac:dyDescent="0.2">
      <c r="B48" s="5" t="s">
        <v>444</v>
      </c>
      <c r="C48" s="10">
        <v>5</v>
      </c>
      <c r="F48" t="s">
        <v>91</v>
      </c>
    </row>
    <row r="49" spans="1:6" x14ac:dyDescent="0.2">
      <c r="B49" s="5" t="s">
        <v>290</v>
      </c>
      <c r="C49" s="10">
        <v>5</v>
      </c>
      <c r="D49" s="32">
        <v>0.05</v>
      </c>
      <c r="F49" t="s">
        <v>92</v>
      </c>
    </row>
    <row r="50" spans="1:6" x14ac:dyDescent="0.2">
      <c r="B50" s="5" t="s">
        <v>292</v>
      </c>
      <c r="C50" s="10">
        <v>10</v>
      </c>
      <c r="D50" s="32">
        <v>0.3</v>
      </c>
      <c r="E50" s="21" t="s">
        <v>114</v>
      </c>
      <c r="F50" t="s">
        <v>92</v>
      </c>
    </row>
    <row r="52" spans="1:6" x14ac:dyDescent="0.2">
      <c r="A52" s="5" t="s">
        <v>21</v>
      </c>
      <c r="B52" s="5" t="s">
        <v>312</v>
      </c>
      <c r="C52" s="10">
        <v>5</v>
      </c>
      <c r="F52" t="s">
        <v>124</v>
      </c>
    </row>
    <row r="53" spans="1:6" x14ac:dyDescent="0.2">
      <c r="B53" s="5" t="s">
        <v>313</v>
      </c>
      <c r="C53" s="10">
        <v>10</v>
      </c>
      <c r="D53" s="32">
        <v>0.1</v>
      </c>
      <c r="F53" t="s">
        <v>91</v>
      </c>
    </row>
    <row r="54" spans="1:6" x14ac:dyDescent="0.2">
      <c r="B54" s="5" t="s">
        <v>314</v>
      </c>
      <c r="C54" s="10">
        <v>5</v>
      </c>
      <c r="F54" s="18" t="s">
        <v>233</v>
      </c>
    </row>
    <row r="56" spans="1:6" x14ac:dyDescent="0.2">
      <c r="A56" s="5" t="s">
        <v>28</v>
      </c>
      <c r="B56" s="5" t="s">
        <v>83</v>
      </c>
      <c r="C56" s="10">
        <v>7</v>
      </c>
      <c r="D56" s="32">
        <v>0.1</v>
      </c>
      <c r="F56" t="s">
        <v>92</v>
      </c>
    </row>
    <row r="57" spans="1:6" x14ac:dyDescent="0.2">
      <c r="B57" s="5" t="s">
        <v>324</v>
      </c>
      <c r="C57" s="10">
        <v>5</v>
      </c>
      <c r="D57" s="32">
        <v>0.05</v>
      </c>
      <c r="E57" s="18" t="s">
        <v>325</v>
      </c>
      <c r="F57" t="s">
        <v>92</v>
      </c>
    </row>
    <row r="58" spans="1:6" x14ac:dyDescent="0.2">
      <c r="B58" s="5" t="s">
        <v>335</v>
      </c>
      <c r="C58" s="10">
        <v>5</v>
      </c>
      <c r="D58" s="32">
        <v>0.05</v>
      </c>
      <c r="F58" t="s">
        <v>92</v>
      </c>
    </row>
    <row r="59" spans="1:6" x14ac:dyDescent="0.2">
      <c r="B59" s="5" t="s">
        <v>336</v>
      </c>
      <c r="C59" s="10">
        <v>5</v>
      </c>
      <c r="E59" s="18"/>
      <c r="F59" t="s">
        <v>91</v>
      </c>
    </row>
    <row r="60" spans="1:6" ht="28.5" x14ac:dyDescent="0.2">
      <c r="B60" s="5" t="s">
        <v>342</v>
      </c>
      <c r="E60" s="15" t="s">
        <v>327</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858D4-5BEF-44D4-8A9F-866174BC0619}">
  <sheetPr codeName="Sheet5"/>
  <dimension ref="A1:D46"/>
  <sheetViews>
    <sheetView workbookViewId="0">
      <pane xSplit="2" ySplit="1" topLeftCell="C2" activePane="bottomRight" state="frozen"/>
      <selection pane="topRight" activeCell="C1" sqref="C1"/>
      <selection pane="bottomLeft" activeCell="A2" sqref="A2"/>
      <selection pane="bottomRight" activeCell="F27" sqref="F27"/>
    </sheetView>
  </sheetViews>
  <sheetFormatPr defaultRowHeight="14.25" x14ac:dyDescent="0.2"/>
  <cols>
    <col min="1" max="1" width="9" style="5"/>
    <col min="2" max="2" width="11" style="5" bestFit="1" customWidth="1"/>
    <col min="3" max="3" width="56.125" style="25" customWidth="1"/>
    <col min="4" max="4" width="30.375" style="5" customWidth="1"/>
    <col min="5" max="16384" width="9" style="5"/>
  </cols>
  <sheetData>
    <row r="1" spans="1:4" x14ac:dyDescent="0.2">
      <c r="A1" s="1" t="s">
        <v>0</v>
      </c>
      <c r="B1" s="1" t="s">
        <v>1</v>
      </c>
      <c r="C1" s="16" t="s">
        <v>31</v>
      </c>
      <c r="D1" s="8" t="s">
        <v>33</v>
      </c>
    </row>
    <row r="2" spans="1:4" x14ac:dyDescent="0.2">
      <c r="A2" s="5" t="s">
        <v>25</v>
      </c>
      <c r="B2" s="5" t="s">
        <v>128</v>
      </c>
      <c r="C2" s="25" t="s">
        <v>133</v>
      </c>
      <c r="D2" s="4" t="s">
        <v>572</v>
      </c>
    </row>
    <row r="3" spans="1:4" x14ac:dyDescent="0.2">
      <c r="B3" s="5" t="s">
        <v>131</v>
      </c>
      <c r="C3" s="25" t="s">
        <v>132</v>
      </c>
      <c r="D3" s="4" t="s">
        <v>573</v>
      </c>
    </row>
    <row r="4" spans="1:4" x14ac:dyDescent="0.2">
      <c r="B4" s="5" t="s">
        <v>134</v>
      </c>
      <c r="C4" s="24" t="s">
        <v>135</v>
      </c>
      <c r="D4" s="4" t="s">
        <v>574</v>
      </c>
    </row>
    <row r="5" spans="1:4" x14ac:dyDescent="0.2">
      <c r="D5" s="4"/>
    </row>
    <row r="6" spans="1:4" x14ac:dyDescent="0.2">
      <c r="A6" s="1" t="s">
        <v>26</v>
      </c>
      <c r="B6" s="1" t="s">
        <v>37</v>
      </c>
      <c r="C6" s="24" t="s">
        <v>40</v>
      </c>
      <c r="D6" s="4" t="s">
        <v>575</v>
      </c>
    </row>
    <row r="7" spans="1:4" x14ac:dyDescent="0.2">
      <c r="A7" s="2"/>
      <c r="B7" s="2" t="s">
        <v>118</v>
      </c>
      <c r="C7" s="24" t="s">
        <v>120</v>
      </c>
      <c r="D7" s="4" t="s">
        <v>576</v>
      </c>
    </row>
    <row r="8" spans="1:4" x14ac:dyDescent="0.2">
      <c r="A8" s="2"/>
      <c r="B8" s="2" t="s">
        <v>119</v>
      </c>
      <c r="C8" s="24" t="s">
        <v>81</v>
      </c>
      <c r="D8" s="4" t="s">
        <v>577</v>
      </c>
    </row>
    <row r="9" spans="1:4" x14ac:dyDescent="0.2">
      <c r="A9" s="2"/>
      <c r="B9" s="5" t="s">
        <v>38</v>
      </c>
      <c r="C9" s="25" t="s">
        <v>39</v>
      </c>
      <c r="D9" s="4" t="s">
        <v>578</v>
      </c>
    </row>
    <row r="10" spans="1:4" x14ac:dyDescent="0.2">
      <c r="B10" s="2"/>
      <c r="C10" s="24"/>
      <c r="D10" s="4"/>
    </row>
    <row r="11" spans="1:4" x14ac:dyDescent="0.2">
      <c r="A11" s="5" t="s">
        <v>29</v>
      </c>
      <c r="B11" s="2" t="s">
        <v>211</v>
      </c>
      <c r="C11" s="24" t="s">
        <v>212</v>
      </c>
      <c r="D11" s="4" t="s">
        <v>579</v>
      </c>
    </row>
    <row r="12" spans="1:4" x14ac:dyDescent="0.2">
      <c r="B12" s="2" t="s">
        <v>213</v>
      </c>
      <c r="C12" s="24" t="s">
        <v>214</v>
      </c>
      <c r="D12" s="4" t="s">
        <v>580</v>
      </c>
    </row>
    <row r="13" spans="1:4" x14ac:dyDescent="0.2">
      <c r="B13" s="2" t="s">
        <v>215</v>
      </c>
      <c r="C13" s="24" t="s">
        <v>36</v>
      </c>
      <c r="D13" s="4" t="s">
        <v>581</v>
      </c>
    </row>
    <row r="14" spans="1:4" x14ac:dyDescent="0.2">
      <c r="B14" s="1"/>
      <c r="D14" s="4"/>
    </row>
    <row r="15" spans="1:4" x14ac:dyDescent="0.2">
      <c r="A15" s="5" t="s">
        <v>49</v>
      </c>
      <c r="B15" s="2" t="s">
        <v>225</v>
      </c>
      <c r="C15" s="25" t="s">
        <v>615</v>
      </c>
      <c r="D15" s="4" t="s">
        <v>582</v>
      </c>
    </row>
    <row r="16" spans="1:4" x14ac:dyDescent="0.2">
      <c r="B16" s="2" t="s">
        <v>227</v>
      </c>
      <c r="C16" s="25" t="s">
        <v>226</v>
      </c>
      <c r="D16" s="4" t="s">
        <v>583</v>
      </c>
    </row>
    <row r="17" spans="1:4" x14ac:dyDescent="0.2">
      <c r="B17" s="5" t="s">
        <v>54</v>
      </c>
      <c r="C17" s="25" t="s">
        <v>55</v>
      </c>
      <c r="D17" s="4" t="s">
        <v>584</v>
      </c>
    </row>
    <row r="18" spans="1:4" x14ac:dyDescent="0.2">
      <c r="B18" s="2"/>
      <c r="D18" s="4"/>
    </row>
    <row r="19" spans="1:4" x14ac:dyDescent="0.2">
      <c r="A19" s="5" t="s">
        <v>24</v>
      </c>
      <c r="B19" s="5" t="s">
        <v>157</v>
      </c>
      <c r="C19" s="25" t="s">
        <v>616</v>
      </c>
      <c r="D19" s="4" t="s">
        <v>585</v>
      </c>
    </row>
    <row r="20" spans="1:4" x14ac:dyDescent="0.2">
      <c r="B20" s="5" t="s">
        <v>161</v>
      </c>
      <c r="C20" s="25" t="s">
        <v>170</v>
      </c>
      <c r="D20" s="4" t="s">
        <v>586</v>
      </c>
    </row>
    <row r="21" spans="1:4" x14ac:dyDescent="0.2">
      <c r="B21" s="5" t="s">
        <v>180</v>
      </c>
      <c r="C21" s="25" t="s">
        <v>181</v>
      </c>
      <c r="D21" s="4" t="s">
        <v>587</v>
      </c>
    </row>
    <row r="22" spans="1:4" x14ac:dyDescent="0.2">
      <c r="B22" s="2"/>
      <c r="D22" s="4"/>
    </row>
    <row r="23" spans="1:4" x14ac:dyDescent="0.2">
      <c r="A23" s="5" t="s">
        <v>27</v>
      </c>
      <c r="B23" s="2" t="s">
        <v>66</v>
      </c>
      <c r="C23" s="25" t="s">
        <v>67</v>
      </c>
      <c r="D23" s="4" t="s">
        <v>588</v>
      </c>
    </row>
    <row r="24" spans="1:4" x14ac:dyDescent="0.2">
      <c r="B24" s="2" t="s">
        <v>68</v>
      </c>
      <c r="C24" s="24" t="s">
        <v>70</v>
      </c>
      <c r="D24" s="4" t="s">
        <v>589</v>
      </c>
    </row>
    <row r="25" spans="1:4" x14ac:dyDescent="0.2">
      <c r="B25" s="2" t="s">
        <v>69</v>
      </c>
      <c r="C25" s="25" t="s">
        <v>71</v>
      </c>
      <c r="D25" s="4" t="s">
        <v>590</v>
      </c>
    </row>
    <row r="26" spans="1:4" x14ac:dyDescent="0.2">
      <c r="D26" s="4"/>
    </row>
    <row r="27" spans="1:4" x14ac:dyDescent="0.2">
      <c r="A27" s="5" t="s">
        <v>17</v>
      </c>
      <c r="B27" s="5" t="s">
        <v>43</v>
      </c>
      <c r="C27" s="24" t="s">
        <v>44</v>
      </c>
      <c r="D27" s="4" t="s">
        <v>591</v>
      </c>
    </row>
    <row r="28" spans="1:4" x14ac:dyDescent="0.2">
      <c r="B28" s="5" t="s">
        <v>144</v>
      </c>
      <c r="C28" s="24" t="s">
        <v>617</v>
      </c>
      <c r="D28" s="4" t="s">
        <v>592</v>
      </c>
    </row>
    <row r="29" spans="1:4" x14ac:dyDescent="0.2">
      <c r="B29" s="5" t="s">
        <v>153</v>
      </c>
      <c r="C29" s="24" t="s">
        <v>633</v>
      </c>
      <c r="D29" s="4" t="s">
        <v>593</v>
      </c>
    </row>
    <row r="30" spans="1:4" x14ac:dyDescent="0.2">
      <c r="B30" s="5" t="s">
        <v>145</v>
      </c>
      <c r="C30" s="25" t="s">
        <v>632</v>
      </c>
      <c r="D30" s="4" t="s">
        <v>594</v>
      </c>
    </row>
    <row r="31" spans="1:4" x14ac:dyDescent="0.2">
      <c r="C31" s="24"/>
      <c r="D31" s="4"/>
    </row>
    <row r="32" spans="1:4" x14ac:dyDescent="0.2">
      <c r="A32" s="5" t="s">
        <v>23</v>
      </c>
      <c r="B32" s="5" t="s">
        <v>255</v>
      </c>
      <c r="C32" s="25" t="s">
        <v>256</v>
      </c>
      <c r="D32" s="4" t="s">
        <v>595</v>
      </c>
    </row>
    <row r="33" spans="1:4" x14ac:dyDescent="0.2">
      <c r="B33" s="5" t="s">
        <v>274</v>
      </c>
      <c r="C33" s="25" t="s">
        <v>226</v>
      </c>
      <c r="D33" s="4" t="s">
        <v>596</v>
      </c>
    </row>
    <row r="34" spans="1:4" x14ac:dyDescent="0.2">
      <c r="B34" s="5" t="s">
        <v>275</v>
      </c>
      <c r="C34" s="25" t="s">
        <v>276</v>
      </c>
      <c r="D34" s="4" t="s">
        <v>597</v>
      </c>
    </row>
    <row r="35" spans="1:4" x14ac:dyDescent="0.2">
      <c r="D35" s="4"/>
    </row>
    <row r="36" spans="1:4" x14ac:dyDescent="0.2">
      <c r="A36" s="5" t="s">
        <v>20</v>
      </c>
      <c r="B36" s="5" t="s">
        <v>446</v>
      </c>
      <c r="C36" s="25" t="s">
        <v>291</v>
      </c>
      <c r="D36" s="4" t="s">
        <v>598</v>
      </c>
    </row>
    <row r="37" spans="1:4" x14ac:dyDescent="0.2">
      <c r="B37" s="5" t="s">
        <v>278</v>
      </c>
      <c r="C37" s="25" t="s">
        <v>226</v>
      </c>
      <c r="D37" s="4" t="s">
        <v>599</v>
      </c>
    </row>
    <row r="38" spans="1:4" x14ac:dyDescent="0.2">
      <c r="B38" s="5" t="s">
        <v>293</v>
      </c>
      <c r="C38" s="24" t="s">
        <v>294</v>
      </c>
      <c r="D38" s="4" t="s">
        <v>600</v>
      </c>
    </row>
    <row r="39" spans="1:4" x14ac:dyDescent="0.2">
      <c r="D39" s="4"/>
    </row>
    <row r="40" spans="1:4" x14ac:dyDescent="0.2">
      <c r="A40" s="5" t="s">
        <v>21</v>
      </c>
      <c r="B40" s="5" t="s">
        <v>319</v>
      </c>
      <c r="C40" s="24" t="s">
        <v>323</v>
      </c>
      <c r="D40" s="4" t="s">
        <v>601</v>
      </c>
    </row>
    <row r="41" spans="1:4" x14ac:dyDescent="0.2">
      <c r="B41" s="5" t="s">
        <v>318</v>
      </c>
      <c r="C41" s="25" t="s">
        <v>320</v>
      </c>
      <c r="D41" s="4" t="s">
        <v>602</v>
      </c>
    </row>
    <row r="42" spans="1:4" x14ac:dyDescent="0.2">
      <c r="B42" s="5" t="s">
        <v>321</v>
      </c>
      <c r="C42" s="25" t="s">
        <v>322</v>
      </c>
      <c r="D42" s="4" t="s">
        <v>603</v>
      </c>
    </row>
    <row r="43" spans="1:4" x14ac:dyDescent="0.2">
      <c r="D43" s="4"/>
    </row>
    <row r="44" spans="1:4" x14ac:dyDescent="0.2">
      <c r="A44" s="5" t="s">
        <v>28</v>
      </c>
      <c r="B44" s="5" t="s">
        <v>329</v>
      </c>
      <c r="C44" s="25" t="s">
        <v>331</v>
      </c>
      <c r="D44" s="4" t="s">
        <v>604</v>
      </c>
    </row>
    <row r="45" spans="1:4" x14ac:dyDescent="0.2">
      <c r="B45" s="5" t="s">
        <v>330</v>
      </c>
      <c r="C45" s="25" t="s">
        <v>332</v>
      </c>
      <c r="D45" s="4" t="s">
        <v>605</v>
      </c>
    </row>
    <row r="46" spans="1:4" x14ac:dyDescent="0.2">
      <c r="B46" s="5" t="s">
        <v>333</v>
      </c>
      <c r="C46" s="25" t="s">
        <v>334</v>
      </c>
      <c r="D46" s="4" t="s">
        <v>606</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DCBA0-BE27-412B-BDDC-A4596FFA7F45}">
  <sheetPr codeName="Sheet6"/>
  <dimension ref="A1:N55"/>
  <sheetViews>
    <sheetView zoomScaleNormal="100" workbookViewId="0">
      <selection activeCell="H17" sqref="H17"/>
    </sheetView>
  </sheetViews>
  <sheetFormatPr defaultRowHeight="14.25" x14ac:dyDescent="0.2"/>
  <cols>
    <col min="1" max="1" width="9" bestFit="1" customWidth="1"/>
    <col min="2" max="2" width="7.625" customWidth="1"/>
    <col min="3" max="3" width="9.125" customWidth="1"/>
    <col min="4" max="5" width="7.625" customWidth="1"/>
    <col min="6" max="6" width="9" bestFit="1" customWidth="1"/>
    <col min="7" max="15" width="7.625" customWidth="1"/>
  </cols>
  <sheetData>
    <row r="1" spans="1:14" x14ac:dyDescent="0.2">
      <c r="A1" t="s">
        <v>22</v>
      </c>
      <c r="B1" t="s">
        <v>25</v>
      </c>
      <c r="C1" t="s">
        <v>26</v>
      </c>
      <c r="D1" t="s">
        <v>29</v>
      </c>
      <c r="E1" t="s">
        <v>49</v>
      </c>
      <c r="F1" t="s">
        <v>24</v>
      </c>
      <c r="G1" t="s">
        <v>27</v>
      </c>
      <c r="H1" t="s">
        <v>17</v>
      </c>
      <c r="I1" t="s">
        <v>23</v>
      </c>
      <c r="J1" t="s">
        <v>20</v>
      </c>
      <c r="K1" t="s">
        <v>21</v>
      </c>
      <c r="L1" t="s">
        <v>28</v>
      </c>
      <c r="N1" s="27" t="s">
        <v>59</v>
      </c>
    </row>
    <row r="2" spans="1:14" x14ac:dyDescent="0.2">
      <c r="A2" t="s">
        <v>14</v>
      </c>
      <c r="C2">
        <v>3</v>
      </c>
      <c r="D2">
        <v>2</v>
      </c>
      <c r="G2">
        <v>2</v>
      </c>
      <c r="H2">
        <v>1</v>
      </c>
      <c r="K2">
        <v>1</v>
      </c>
      <c r="N2" s="27" t="s">
        <v>41</v>
      </c>
    </row>
    <row r="3" spans="1:14" x14ac:dyDescent="0.2">
      <c r="A3" t="s">
        <v>345</v>
      </c>
      <c r="B3">
        <v>3</v>
      </c>
      <c r="E3">
        <v>1</v>
      </c>
      <c r="G3">
        <v>2</v>
      </c>
      <c r="H3">
        <v>1</v>
      </c>
    </row>
    <row r="4" spans="1:14" x14ac:dyDescent="0.2">
      <c r="A4" t="s">
        <v>344</v>
      </c>
      <c r="F4">
        <v>1</v>
      </c>
      <c r="H4">
        <v>3</v>
      </c>
      <c r="L4">
        <v>1</v>
      </c>
    </row>
    <row r="5" spans="1:14" x14ac:dyDescent="0.2">
      <c r="A5" t="s">
        <v>15</v>
      </c>
      <c r="F5">
        <v>3</v>
      </c>
      <c r="I5">
        <v>1</v>
      </c>
      <c r="L5">
        <v>1</v>
      </c>
    </row>
    <row r="6" spans="1:14" x14ac:dyDescent="0.2">
      <c r="A6" t="s">
        <v>16</v>
      </c>
      <c r="D6">
        <v>1</v>
      </c>
      <c r="I6">
        <v>1</v>
      </c>
      <c r="J6">
        <v>3</v>
      </c>
    </row>
    <row r="7" spans="1:14" x14ac:dyDescent="0.2">
      <c r="A7" t="s">
        <v>343</v>
      </c>
      <c r="E7">
        <v>3</v>
      </c>
      <c r="I7">
        <v>1</v>
      </c>
      <c r="J7">
        <v>2</v>
      </c>
    </row>
    <row r="8" spans="1:14" x14ac:dyDescent="0.2">
      <c r="A8" t="s">
        <v>18</v>
      </c>
      <c r="C8">
        <v>1</v>
      </c>
      <c r="H8">
        <v>1</v>
      </c>
      <c r="K8">
        <v>3</v>
      </c>
    </row>
    <row r="9" spans="1:14" x14ac:dyDescent="0.2">
      <c r="A9" t="s">
        <v>19</v>
      </c>
      <c r="I9">
        <v>2</v>
      </c>
      <c r="L9">
        <v>1</v>
      </c>
    </row>
    <row r="10" spans="1:14" x14ac:dyDescent="0.2">
      <c r="A10" t="s">
        <v>346</v>
      </c>
      <c r="B10">
        <v>1</v>
      </c>
      <c r="K10">
        <v>2</v>
      </c>
    </row>
    <row r="11" spans="1:14" x14ac:dyDescent="0.2">
      <c r="A11" t="s">
        <v>347</v>
      </c>
      <c r="G11">
        <v>1</v>
      </c>
      <c r="L11">
        <v>2</v>
      </c>
    </row>
    <row r="13" spans="1:14" x14ac:dyDescent="0.2">
      <c r="A13" t="s">
        <v>439</v>
      </c>
    </row>
    <row r="14" spans="1:14" x14ac:dyDescent="0.2">
      <c r="A14" t="s">
        <v>357</v>
      </c>
      <c r="B14">
        <v>30</v>
      </c>
      <c r="C14">
        <v>35</v>
      </c>
      <c r="D14">
        <v>30</v>
      </c>
      <c r="E14">
        <v>10</v>
      </c>
      <c r="F14">
        <v>18</v>
      </c>
      <c r="G14">
        <v>30</v>
      </c>
      <c r="H14">
        <v>22</v>
      </c>
      <c r="I14">
        <v>10</v>
      </c>
      <c r="J14">
        <v>10</v>
      </c>
      <c r="K14">
        <v>25</v>
      </c>
      <c r="L14">
        <v>18</v>
      </c>
    </row>
    <row r="15" spans="1:14" x14ac:dyDescent="0.2">
      <c r="A15" t="s">
        <v>19</v>
      </c>
      <c r="B15">
        <v>15</v>
      </c>
      <c r="C15">
        <v>20</v>
      </c>
      <c r="D15">
        <v>16</v>
      </c>
      <c r="E15">
        <v>10</v>
      </c>
      <c r="F15">
        <v>10</v>
      </c>
      <c r="G15">
        <v>28</v>
      </c>
      <c r="H15">
        <v>10</v>
      </c>
      <c r="I15">
        <v>35</v>
      </c>
      <c r="J15">
        <v>20</v>
      </c>
      <c r="K15">
        <v>3</v>
      </c>
      <c r="L15">
        <v>30</v>
      </c>
    </row>
    <row r="16" spans="1:14" x14ac:dyDescent="0.2">
      <c r="A16" t="s">
        <v>18</v>
      </c>
      <c r="B16">
        <v>18</v>
      </c>
      <c r="C16">
        <v>20</v>
      </c>
      <c r="D16">
        <v>16</v>
      </c>
      <c r="E16">
        <v>10</v>
      </c>
      <c r="F16">
        <v>10</v>
      </c>
      <c r="G16">
        <v>14</v>
      </c>
      <c r="H16">
        <v>30</v>
      </c>
      <c r="I16">
        <v>8</v>
      </c>
      <c r="J16">
        <v>20</v>
      </c>
      <c r="K16">
        <v>35</v>
      </c>
      <c r="L16">
        <v>5</v>
      </c>
    </row>
    <row r="17" spans="1:12" x14ac:dyDescent="0.2">
      <c r="A17" t="s">
        <v>355</v>
      </c>
      <c r="B17">
        <v>10</v>
      </c>
      <c r="C17">
        <v>10</v>
      </c>
      <c r="D17">
        <v>25</v>
      </c>
      <c r="E17">
        <v>35</v>
      </c>
      <c r="F17">
        <v>30</v>
      </c>
      <c r="G17">
        <v>10</v>
      </c>
      <c r="H17">
        <v>35</v>
      </c>
      <c r="I17">
        <v>28</v>
      </c>
      <c r="J17">
        <v>0</v>
      </c>
      <c r="K17">
        <v>19</v>
      </c>
      <c r="L17">
        <v>16</v>
      </c>
    </row>
    <row r="18" spans="1:12" x14ac:dyDescent="0.2">
      <c r="A18" t="s">
        <v>356</v>
      </c>
      <c r="B18">
        <v>0</v>
      </c>
      <c r="C18">
        <v>0</v>
      </c>
      <c r="D18">
        <v>30</v>
      </c>
      <c r="E18">
        <v>30</v>
      </c>
      <c r="F18">
        <v>25</v>
      </c>
      <c r="G18">
        <v>0</v>
      </c>
      <c r="H18">
        <v>0</v>
      </c>
      <c r="I18">
        <v>28</v>
      </c>
      <c r="J18">
        <v>35</v>
      </c>
      <c r="K18">
        <v>0</v>
      </c>
      <c r="L18">
        <v>0</v>
      </c>
    </row>
    <row r="20" spans="1:12" x14ac:dyDescent="0.2">
      <c r="A20" t="s">
        <v>363</v>
      </c>
    </row>
    <row r="21" spans="1:12" x14ac:dyDescent="0.2">
      <c r="A21" t="s">
        <v>440</v>
      </c>
      <c r="C21">
        <f>35+C24+C31+C38+C45+C52</f>
        <v>58</v>
      </c>
      <c r="D21">
        <f>35+D24+D31+D38+D45+D52</f>
        <v>53</v>
      </c>
      <c r="E21">
        <f>35+E24+E31+E38+E45+E52</f>
        <v>50</v>
      </c>
      <c r="F21">
        <f>35+F24+F31+F38+F45+F52</f>
        <v>50</v>
      </c>
      <c r="G21">
        <f>35+G24+G31+G38+G45+G52</f>
        <v>64</v>
      </c>
    </row>
    <row r="22" spans="1:12" x14ac:dyDescent="0.2">
      <c r="C22" t="s">
        <v>357</v>
      </c>
      <c r="D22" t="s">
        <v>19</v>
      </c>
      <c r="E22" t="s">
        <v>18</v>
      </c>
      <c r="F22" t="s">
        <v>355</v>
      </c>
      <c r="G22" t="s">
        <v>356</v>
      </c>
    </row>
    <row r="23" spans="1:12" s="28" customFormat="1" x14ac:dyDescent="0.2">
      <c r="C23" s="28">
        <v>3</v>
      </c>
      <c r="G23" s="28">
        <v>2</v>
      </c>
    </row>
    <row r="24" spans="1:12" x14ac:dyDescent="0.2">
      <c r="A24" t="s">
        <v>358</v>
      </c>
      <c r="B24">
        <v>5</v>
      </c>
      <c r="C24">
        <f>C$23*$B24</f>
        <v>15</v>
      </c>
      <c r="D24">
        <f>D$23*$B24</f>
        <v>0</v>
      </c>
      <c r="E24">
        <f>E$23*$B24</f>
        <v>0</v>
      </c>
      <c r="F24">
        <f t="shared" ref="F24:F29" si="0">F$23*$B24</f>
        <v>0</v>
      </c>
      <c r="G24">
        <f>G$23*$B24</f>
        <v>10</v>
      </c>
    </row>
    <row r="25" spans="1:12" x14ac:dyDescent="0.2">
      <c r="B25">
        <v>4</v>
      </c>
      <c r="C25">
        <f t="shared" ref="C25:G29" si="1">C$23*$B25</f>
        <v>12</v>
      </c>
      <c r="D25">
        <f t="shared" si="1"/>
        <v>0</v>
      </c>
      <c r="E25">
        <f t="shared" si="1"/>
        <v>0</v>
      </c>
      <c r="F25">
        <f t="shared" si="0"/>
        <v>0</v>
      </c>
      <c r="G25">
        <f t="shared" si="1"/>
        <v>8</v>
      </c>
    </row>
    <row r="26" spans="1:12" x14ac:dyDescent="0.2">
      <c r="B26">
        <v>3</v>
      </c>
      <c r="C26">
        <f t="shared" si="1"/>
        <v>9</v>
      </c>
      <c r="D26">
        <f t="shared" si="1"/>
        <v>0</v>
      </c>
      <c r="E26">
        <f t="shared" si="1"/>
        <v>0</v>
      </c>
      <c r="F26">
        <f t="shared" si="0"/>
        <v>0</v>
      </c>
      <c r="G26">
        <f t="shared" si="1"/>
        <v>6</v>
      </c>
    </row>
    <row r="27" spans="1:12" x14ac:dyDescent="0.2">
      <c r="B27">
        <v>2</v>
      </c>
      <c r="C27">
        <f t="shared" si="1"/>
        <v>6</v>
      </c>
      <c r="D27">
        <f t="shared" si="1"/>
        <v>0</v>
      </c>
      <c r="E27">
        <f t="shared" si="1"/>
        <v>0</v>
      </c>
      <c r="F27">
        <f t="shared" si="0"/>
        <v>0</v>
      </c>
      <c r="G27">
        <f t="shared" si="1"/>
        <v>4</v>
      </c>
    </row>
    <row r="28" spans="1:12" x14ac:dyDescent="0.2">
      <c r="B28">
        <v>1</v>
      </c>
      <c r="C28">
        <f t="shared" si="1"/>
        <v>3</v>
      </c>
      <c r="D28">
        <f t="shared" si="1"/>
        <v>0</v>
      </c>
      <c r="E28">
        <f t="shared" si="1"/>
        <v>0</v>
      </c>
      <c r="F28">
        <f t="shared" si="0"/>
        <v>0</v>
      </c>
      <c r="G28">
        <f t="shared" si="1"/>
        <v>2</v>
      </c>
    </row>
    <row r="29" spans="1:12" x14ac:dyDescent="0.2">
      <c r="B29">
        <v>0</v>
      </c>
      <c r="C29">
        <f t="shared" si="1"/>
        <v>0</v>
      </c>
      <c r="D29">
        <f t="shared" si="1"/>
        <v>0</v>
      </c>
      <c r="E29">
        <f t="shared" si="1"/>
        <v>0</v>
      </c>
      <c r="F29">
        <f t="shared" si="0"/>
        <v>0</v>
      </c>
      <c r="G29">
        <f t="shared" si="1"/>
        <v>0</v>
      </c>
    </row>
    <row r="30" spans="1:12" s="28" customFormat="1" x14ac:dyDescent="0.2">
      <c r="D30" s="28">
        <v>3</v>
      </c>
      <c r="F30" s="28">
        <v>1</v>
      </c>
    </row>
    <row r="31" spans="1:12" x14ac:dyDescent="0.2">
      <c r="A31" t="s">
        <v>359</v>
      </c>
      <c r="B31">
        <v>5</v>
      </c>
      <c r="D31">
        <f t="shared" ref="D31:D36" si="2">D$30*$B31</f>
        <v>15</v>
      </c>
      <c r="F31">
        <f t="shared" ref="F31:F36" si="3">F$30*$B31</f>
        <v>5</v>
      </c>
    </row>
    <row r="32" spans="1:12" x14ac:dyDescent="0.2">
      <c r="B32">
        <v>4</v>
      </c>
      <c r="D32">
        <f t="shared" si="2"/>
        <v>12</v>
      </c>
      <c r="F32">
        <f t="shared" si="3"/>
        <v>4</v>
      </c>
    </row>
    <row r="33" spans="1:7" x14ac:dyDescent="0.2">
      <c r="B33">
        <v>3</v>
      </c>
      <c r="D33">
        <f t="shared" si="2"/>
        <v>9</v>
      </c>
      <c r="F33">
        <f t="shared" si="3"/>
        <v>3</v>
      </c>
    </row>
    <row r="34" spans="1:7" x14ac:dyDescent="0.2">
      <c r="B34">
        <v>2</v>
      </c>
      <c r="D34">
        <f t="shared" si="2"/>
        <v>6</v>
      </c>
      <c r="F34">
        <f t="shared" si="3"/>
        <v>2</v>
      </c>
    </row>
    <row r="35" spans="1:7" x14ac:dyDescent="0.2">
      <c r="B35">
        <v>1</v>
      </c>
      <c r="D35">
        <f t="shared" si="2"/>
        <v>3</v>
      </c>
      <c r="F35">
        <f t="shared" si="3"/>
        <v>1</v>
      </c>
    </row>
    <row r="36" spans="1:7" x14ac:dyDescent="0.2">
      <c r="B36">
        <v>0</v>
      </c>
      <c r="D36">
        <f t="shared" si="2"/>
        <v>0</v>
      </c>
      <c r="F36">
        <f t="shared" si="3"/>
        <v>0</v>
      </c>
    </row>
    <row r="37" spans="1:7" s="28" customFormat="1" x14ac:dyDescent="0.2">
      <c r="C37" s="28">
        <v>1</v>
      </c>
      <c r="F37" s="28">
        <v>1</v>
      </c>
      <c r="G37" s="28">
        <v>2</v>
      </c>
    </row>
    <row r="38" spans="1:7" x14ac:dyDescent="0.2">
      <c r="A38" t="s">
        <v>360</v>
      </c>
      <c r="B38">
        <v>5</v>
      </c>
      <c r="C38">
        <f t="shared" ref="C38:C43" si="4">C$37*$B38</f>
        <v>5</v>
      </c>
      <c r="D38">
        <f t="shared" ref="D38:G43" si="5">D$37*$B38</f>
        <v>0</v>
      </c>
      <c r="E38">
        <f t="shared" si="5"/>
        <v>0</v>
      </c>
      <c r="F38">
        <f t="shared" ref="F38:F43" si="6">F$37*$B38</f>
        <v>5</v>
      </c>
      <c r="G38">
        <f t="shared" si="5"/>
        <v>10</v>
      </c>
    </row>
    <row r="39" spans="1:7" x14ac:dyDescent="0.2">
      <c r="B39">
        <v>4</v>
      </c>
      <c r="C39">
        <f t="shared" si="4"/>
        <v>4</v>
      </c>
      <c r="D39">
        <f t="shared" si="5"/>
        <v>0</v>
      </c>
      <c r="E39">
        <f t="shared" si="5"/>
        <v>0</v>
      </c>
      <c r="F39">
        <f t="shared" si="6"/>
        <v>4</v>
      </c>
      <c r="G39">
        <f t="shared" si="5"/>
        <v>8</v>
      </c>
    </row>
    <row r="40" spans="1:7" x14ac:dyDescent="0.2">
      <c r="B40">
        <v>3</v>
      </c>
      <c r="C40">
        <f t="shared" si="4"/>
        <v>3</v>
      </c>
      <c r="D40">
        <f t="shared" si="5"/>
        <v>0</v>
      </c>
      <c r="E40">
        <f t="shared" si="5"/>
        <v>0</v>
      </c>
      <c r="F40">
        <f t="shared" si="6"/>
        <v>3</v>
      </c>
      <c r="G40">
        <f t="shared" si="5"/>
        <v>6</v>
      </c>
    </row>
    <row r="41" spans="1:7" x14ac:dyDescent="0.2">
      <c r="B41">
        <v>2</v>
      </c>
      <c r="C41">
        <f t="shared" si="4"/>
        <v>2</v>
      </c>
      <c r="D41">
        <f t="shared" si="5"/>
        <v>0</v>
      </c>
      <c r="E41">
        <f t="shared" si="5"/>
        <v>0</v>
      </c>
      <c r="F41">
        <f t="shared" si="6"/>
        <v>2</v>
      </c>
      <c r="G41">
        <f t="shared" si="5"/>
        <v>4</v>
      </c>
    </row>
    <row r="42" spans="1:7" x14ac:dyDescent="0.2">
      <c r="B42">
        <v>1</v>
      </c>
      <c r="C42">
        <f t="shared" si="4"/>
        <v>1</v>
      </c>
      <c r="D42">
        <f t="shared" si="5"/>
        <v>0</v>
      </c>
      <c r="E42">
        <f t="shared" si="5"/>
        <v>0</v>
      </c>
      <c r="F42">
        <f t="shared" si="6"/>
        <v>1</v>
      </c>
      <c r="G42">
        <f t="shared" si="5"/>
        <v>2</v>
      </c>
    </row>
    <row r="43" spans="1:7" x14ac:dyDescent="0.2">
      <c r="B43">
        <v>0</v>
      </c>
      <c r="C43">
        <f t="shared" si="4"/>
        <v>0</v>
      </c>
      <c r="D43">
        <f t="shared" si="5"/>
        <v>0</v>
      </c>
      <c r="E43">
        <f t="shared" si="5"/>
        <v>0</v>
      </c>
      <c r="F43">
        <f t="shared" si="6"/>
        <v>0</v>
      </c>
      <c r="G43">
        <f t="shared" si="5"/>
        <v>0</v>
      </c>
    </row>
    <row r="44" spans="1:7" s="28" customFormat="1" x14ac:dyDescent="0.2">
      <c r="E44" s="28">
        <v>3</v>
      </c>
      <c r="F44" s="28">
        <v>1</v>
      </c>
    </row>
    <row r="45" spans="1:7" x14ac:dyDescent="0.2">
      <c r="A45" t="s">
        <v>361</v>
      </c>
      <c r="B45">
        <v>5</v>
      </c>
      <c r="C45">
        <f>C$44*$B45</f>
        <v>0</v>
      </c>
      <c r="D45">
        <f>D$44*$B45</f>
        <v>0</v>
      </c>
      <c r="E45">
        <f>E$44*$B45</f>
        <v>15</v>
      </c>
      <c r="F45">
        <f>F$44*$B45</f>
        <v>5</v>
      </c>
      <c r="G45">
        <f>G$44*$B45</f>
        <v>0</v>
      </c>
    </row>
    <row r="46" spans="1:7" x14ac:dyDescent="0.2">
      <c r="B46">
        <v>4</v>
      </c>
      <c r="C46">
        <f t="shared" ref="C46:G50" si="7">C$44*$B46</f>
        <v>0</v>
      </c>
      <c r="D46">
        <f t="shared" si="7"/>
        <v>0</v>
      </c>
      <c r="E46">
        <f t="shared" si="7"/>
        <v>12</v>
      </c>
      <c r="F46">
        <f>F$44*$B46</f>
        <v>4</v>
      </c>
      <c r="G46">
        <f t="shared" si="7"/>
        <v>0</v>
      </c>
    </row>
    <row r="47" spans="1:7" x14ac:dyDescent="0.2">
      <c r="B47">
        <v>3</v>
      </c>
      <c r="C47">
        <f t="shared" si="7"/>
        <v>0</v>
      </c>
      <c r="D47">
        <f t="shared" si="7"/>
        <v>0</v>
      </c>
      <c r="E47">
        <f t="shared" si="7"/>
        <v>9</v>
      </c>
      <c r="F47">
        <f>F$44*$B47</f>
        <v>3</v>
      </c>
      <c r="G47">
        <f t="shared" si="7"/>
        <v>0</v>
      </c>
    </row>
    <row r="48" spans="1:7" x14ac:dyDescent="0.2">
      <c r="B48">
        <v>2</v>
      </c>
      <c r="C48">
        <f t="shared" si="7"/>
        <v>0</v>
      </c>
      <c r="D48">
        <f t="shared" si="7"/>
        <v>0</v>
      </c>
      <c r="E48">
        <f t="shared" si="7"/>
        <v>6</v>
      </c>
      <c r="F48">
        <f>F$44*$B48</f>
        <v>2</v>
      </c>
      <c r="G48">
        <f t="shared" si="7"/>
        <v>0</v>
      </c>
    </row>
    <row r="49" spans="1:7" x14ac:dyDescent="0.2">
      <c r="B49">
        <v>1</v>
      </c>
      <c r="C49">
        <f t="shared" si="7"/>
        <v>0</v>
      </c>
      <c r="D49">
        <f t="shared" si="7"/>
        <v>0</v>
      </c>
      <c r="E49">
        <f t="shared" si="7"/>
        <v>3</v>
      </c>
      <c r="F49">
        <f>F$44*$B49</f>
        <v>1</v>
      </c>
      <c r="G49">
        <f t="shared" si="7"/>
        <v>0</v>
      </c>
    </row>
    <row r="50" spans="1:7" x14ac:dyDescent="0.2">
      <c r="B50">
        <v>0</v>
      </c>
      <c r="C50">
        <f t="shared" si="7"/>
        <v>0</v>
      </c>
      <c r="D50">
        <f t="shared" si="7"/>
        <v>0</v>
      </c>
      <c r="E50">
        <f t="shared" si="7"/>
        <v>0</v>
      </c>
      <c r="F50">
        <f>F$44*$B50</f>
        <v>0</v>
      </c>
      <c r="G50">
        <f t="shared" si="7"/>
        <v>0</v>
      </c>
    </row>
    <row r="51" spans="1:7" s="28" customFormat="1" x14ac:dyDescent="0.2">
      <c r="C51" s="28">
        <v>1</v>
      </c>
      <c r="D51" s="28">
        <v>1</v>
      </c>
      <c r="G51" s="28">
        <v>3</v>
      </c>
    </row>
    <row r="52" spans="1:7" x14ac:dyDescent="0.2">
      <c r="A52" t="s">
        <v>362</v>
      </c>
      <c r="B52">
        <v>3</v>
      </c>
      <c r="C52">
        <f>C$51*$B52</f>
        <v>3</v>
      </c>
      <c r="D52">
        <f>D$51*$B52</f>
        <v>3</v>
      </c>
      <c r="E52">
        <f>E$51*$B52</f>
        <v>0</v>
      </c>
      <c r="F52">
        <f>F$51*$B52</f>
        <v>0</v>
      </c>
      <c r="G52">
        <f>G$51*$B52</f>
        <v>9</v>
      </c>
    </row>
    <row r="53" spans="1:7" x14ac:dyDescent="0.2">
      <c r="B53">
        <v>2</v>
      </c>
      <c r="C53">
        <f t="shared" ref="C53:G55" si="8">C$51*$B53</f>
        <v>2</v>
      </c>
      <c r="D53">
        <f t="shared" si="8"/>
        <v>2</v>
      </c>
      <c r="E53">
        <f t="shared" si="8"/>
        <v>0</v>
      </c>
      <c r="F53">
        <f>F$51*$B53</f>
        <v>0</v>
      </c>
      <c r="G53">
        <f t="shared" si="8"/>
        <v>6</v>
      </c>
    </row>
    <row r="54" spans="1:7" x14ac:dyDescent="0.2">
      <c r="B54">
        <v>1</v>
      </c>
      <c r="C54">
        <f t="shared" si="8"/>
        <v>1</v>
      </c>
      <c r="D54">
        <f t="shared" si="8"/>
        <v>1</v>
      </c>
      <c r="E54">
        <f t="shared" si="8"/>
        <v>0</v>
      </c>
      <c r="F54">
        <f>F$51*$B54</f>
        <v>0</v>
      </c>
      <c r="G54">
        <f t="shared" si="8"/>
        <v>3</v>
      </c>
    </row>
    <row r="55" spans="1:7" x14ac:dyDescent="0.2">
      <c r="B55">
        <v>0</v>
      </c>
      <c r="C55">
        <f t="shared" si="8"/>
        <v>0</v>
      </c>
      <c r="D55">
        <f t="shared" si="8"/>
        <v>0</v>
      </c>
      <c r="E55">
        <f t="shared" si="8"/>
        <v>0</v>
      </c>
      <c r="F55">
        <f>F$51*$B55</f>
        <v>0</v>
      </c>
      <c r="G55">
        <f t="shared" si="8"/>
        <v>0</v>
      </c>
    </row>
  </sheetData>
  <phoneticPr fontId="2" type="noConversion"/>
  <conditionalFormatting sqref="B14:L18">
    <cfRule type="dataBar" priority="1">
      <dataBar>
        <cfvo type="min"/>
        <cfvo type="max"/>
        <color rgb="FFFFB628"/>
      </dataBar>
      <extLst>
        <ext xmlns:x14="http://schemas.microsoft.com/office/spreadsheetml/2009/9/main" uri="{B025F937-C7B1-47D3-B67F-A62EFF666E3E}">
          <x14:id>{65661E14-81B0-4E71-B39E-641D05BAB434}</x14:id>
        </ext>
      </extLst>
    </cfRule>
  </conditionalFormatting>
  <conditionalFormatting sqref="C24:G29 C52:G55 C45:G50 C38:G43 C31:G36">
    <cfRule type="dataBar" priority="18">
      <dataBar>
        <cfvo type="min"/>
        <cfvo type="max"/>
        <color rgb="FFFFB628"/>
      </dataBar>
      <extLst>
        <ext xmlns:x14="http://schemas.microsoft.com/office/spreadsheetml/2009/9/main" uri="{B025F937-C7B1-47D3-B67F-A62EFF666E3E}">
          <x14:id>{603AD5BD-1C81-4B4C-8098-20FD4C8A911F}</x14:id>
        </ext>
      </extLst>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65661E14-81B0-4E71-B39E-641D05BAB434}">
            <x14:dataBar minLength="0" maxLength="100" gradient="0">
              <x14:cfvo type="autoMin"/>
              <x14:cfvo type="autoMax"/>
              <x14:negativeFillColor rgb="FFFF0000"/>
              <x14:axisColor rgb="FF000000"/>
            </x14:dataBar>
          </x14:cfRule>
          <xm:sqref>B14:L18</xm:sqref>
        </x14:conditionalFormatting>
        <x14:conditionalFormatting xmlns:xm="http://schemas.microsoft.com/office/excel/2006/main">
          <x14:cfRule type="dataBar" id="{603AD5BD-1C81-4B4C-8098-20FD4C8A911F}">
            <x14:dataBar minLength="0" maxLength="100" gradient="0">
              <x14:cfvo type="autoMin"/>
              <x14:cfvo type="autoMax"/>
              <x14:negativeFillColor rgb="FFFF0000"/>
              <x14:axisColor rgb="FF000000"/>
            </x14:dataBar>
          </x14:cfRule>
          <xm:sqref>C24:G29 C52:G55 C45:G50 C38:G43 C31:G36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62691-8856-423D-A5FE-AF58B6B3F16F}">
  <sheetPr codeName="Sheet1"/>
  <dimension ref="A1:M12"/>
  <sheetViews>
    <sheetView workbookViewId="0">
      <selection activeCell="Q2" sqref="Q2"/>
    </sheetView>
  </sheetViews>
  <sheetFormatPr defaultRowHeight="14.25" x14ac:dyDescent="0.2"/>
  <cols>
    <col min="1" max="1" width="4.25" bestFit="1" customWidth="1"/>
    <col min="9" max="10" width="13" bestFit="1" customWidth="1"/>
    <col min="11" max="11" width="11" bestFit="1" customWidth="1"/>
    <col min="13" max="13" width="60.5" style="18" customWidth="1"/>
  </cols>
  <sheetData>
    <row r="1" spans="1:13" ht="41.25" customHeight="1" x14ac:dyDescent="0.2">
      <c r="C1" t="s">
        <v>379</v>
      </c>
      <c r="G1" t="s">
        <v>380</v>
      </c>
      <c r="H1" t="s">
        <v>381</v>
      </c>
      <c r="I1" t="s">
        <v>383</v>
      </c>
      <c r="M1" s="18" t="s">
        <v>386</v>
      </c>
    </row>
    <row r="2" spans="1:13" ht="28.5" x14ac:dyDescent="0.2">
      <c r="A2" t="s">
        <v>364</v>
      </c>
      <c r="B2" t="s">
        <v>25</v>
      </c>
      <c r="C2" t="s">
        <v>414</v>
      </c>
      <c r="D2" t="s">
        <v>377</v>
      </c>
      <c r="E2" t="s">
        <v>413</v>
      </c>
      <c r="F2" t="s">
        <v>410</v>
      </c>
      <c r="G2" t="s">
        <v>425</v>
      </c>
      <c r="H2" t="s">
        <v>382</v>
      </c>
      <c r="I2" t="s">
        <v>388</v>
      </c>
      <c r="J2" t="s">
        <v>389</v>
      </c>
      <c r="M2" s="18" t="s">
        <v>450</v>
      </c>
    </row>
    <row r="3" spans="1:13" ht="28.5" x14ac:dyDescent="0.2">
      <c r="A3" t="s">
        <v>365</v>
      </c>
      <c r="B3" t="s">
        <v>26</v>
      </c>
      <c r="C3" s="29" t="s">
        <v>375</v>
      </c>
      <c r="D3" s="29" t="s">
        <v>376</v>
      </c>
      <c r="E3" s="29" t="s">
        <v>412</v>
      </c>
      <c r="F3" s="29" t="s">
        <v>378</v>
      </c>
      <c r="G3" s="29" t="s">
        <v>424</v>
      </c>
      <c r="H3" t="s">
        <v>382</v>
      </c>
      <c r="I3" t="s">
        <v>384</v>
      </c>
      <c r="J3" t="s">
        <v>385</v>
      </c>
      <c r="M3" s="18" t="s">
        <v>456</v>
      </c>
    </row>
    <row r="4" spans="1:13" x14ac:dyDescent="0.2">
      <c r="A4" t="s">
        <v>366</v>
      </c>
      <c r="B4" t="s">
        <v>29</v>
      </c>
      <c r="C4" s="29" t="s">
        <v>414</v>
      </c>
      <c r="D4" s="29" t="s">
        <v>377</v>
      </c>
      <c r="E4" s="29" t="s">
        <v>413</v>
      </c>
      <c r="F4" s="29" t="s">
        <v>410</v>
      </c>
      <c r="G4" s="29" t="s">
        <v>428</v>
      </c>
      <c r="H4" t="s">
        <v>427</v>
      </c>
      <c r="I4" t="s">
        <v>393</v>
      </c>
      <c r="J4" t="s">
        <v>392</v>
      </c>
      <c r="M4" s="18" t="s">
        <v>454</v>
      </c>
    </row>
    <row r="5" spans="1:13" ht="28.5" x14ac:dyDescent="0.2">
      <c r="A5" t="s">
        <v>367</v>
      </c>
      <c r="B5" t="s">
        <v>49</v>
      </c>
      <c r="C5" s="29" t="s">
        <v>415</v>
      </c>
      <c r="D5" s="29" t="s">
        <v>377</v>
      </c>
      <c r="E5" s="29" t="s">
        <v>411</v>
      </c>
      <c r="F5" s="29" t="s">
        <v>409</v>
      </c>
      <c r="G5" s="29" t="s">
        <v>430</v>
      </c>
      <c r="H5" t="s">
        <v>438</v>
      </c>
      <c r="I5" t="s">
        <v>394</v>
      </c>
      <c r="J5" t="s">
        <v>395</v>
      </c>
      <c r="M5" s="18" t="s">
        <v>453</v>
      </c>
    </row>
    <row r="6" spans="1:13" ht="28.5" x14ac:dyDescent="0.2">
      <c r="A6" t="s">
        <v>368</v>
      </c>
      <c r="B6" t="s">
        <v>24</v>
      </c>
      <c r="C6" s="29" t="s">
        <v>422</v>
      </c>
      <c r="D6" s="29" t="s">
        <v>423</v>
      </c>
      <c r="E6" s="29" t="s">
        <v>419</v>
      </c>
      <c r="F6" s="29" t="s">
        <v>421</v>
      </c>
      <c r="G6" s="29" t="s">
        <v>429</v>
      </c>
      <c r="H6" t="s">
        <v>427</v>
      </c>
      <c r="I6" t="s">
        <v>396</v>
      </c>
      <c r="J6" t="s">
        <v>397</v>
      </c>
      <c r="M6" s="18" t="s">
        <v>457</v>
      </c>
    </row>
    <row r="7" spans="1:13" ht="28.5" x14ac:dyDescent="0.2">
      <c r="A7" t="s">
        <v>369</v>
      </c>
      <c r="B7" t="s">
        <v>27</v>
      </c>
      <c r="C7" s="29" t="s">
        <v>414</v>
      </c>
      <c r="D7" s="29" t="s">
        <v>377</v>
      </c>
      <c r="E7" s="29" t="s">
        <v>413</v>
      </c>
      <c r="F7" s="29" t="s">
        <v>410</v>
      </c>
      <c r="G7" s="29" t="s">
        <v>426</v>
      </c>
      <c r="H7" t="s">
        <v>427</v>
      </c>
      <c r="I7" t="s">
        <v>390</v>
      </c>
      <c r="J7" t="s">
        <v>391</v>
      </c>
      <c r="K7" t="s">
        <v>392</v>
      </c>
      <c r="M7" s="18" t="s">
        <v>451</v>
      </c>
    </row>
    <row r="8" spans="1:13" ht="28.5" x14ac:dyDescent="0.2">
      <c r="A8" t="s">
        <v>370</v>
      </c>
      <c r="B8" t="s">
        <v>17</v>
      </c>
      <c r="C8" s="29" t="s">
        <v>414</v>
      </c>
      <c r="D8" s="29" t="s">
        <v>377</v>
      </c>
      <c r="E8" s="29" t="s">
        <v>411</v>
      </c>
      <c r="F8" s="29" t="s">
        <v>416</v>
      </c>
      <c r="G8" s="29" t="s">
        <v>431</v>
      </c>
      <c r="H8" t="s">
        <v>438</v>
      </c>
      <c r="I8" t="s">
        <v>384</v>
      </c>
      <c r="J8" t="s">
        <v>398</v>
      </c>
      <c r="K8" t="s">
        <v>395</v>
      </c>
      <c r="L8" t="s">
        <v>399</v>
      </c>
      <c r="M8" s="18" t="s">
        <v>387</v>
      </c>
    </row>
    <row r="9" spans="1:13" ht="28.5" x14ac:dyDescent="0.2">
      <c r="A9" t="s">
        <v>371</v>
      </c>
      <c r="B9" t="s">
        <v>23</v>
      </c>
      <c r="C9" s="29" t="s">
        <v>414</v>
      </c>
      <c r="D9" s="29" t="s">
        <v>377</v>
      </c>
      <c r="E9" s="29" t="s">
        <v>413</v>
      </c>
      <c r="F9" s="29" t="s">
        <v>410</v>
      </c>
      <c r="G9" s="29" t="s">
        <v>432</v>
      </c>
      <c r="H9" t="s">
        <v>437</v>
      </c>
      <c r="I9" t="s">
        <v>400</v>
      </c>
      <c r="J9" t="s">
        <v>401</v>
      </c>
      <c r="K9" t="s">
        <v>393</v>
      </c>
      <c r="L9" t="s">
        <v>402</v>
      </c>
      <c r="M9" s="18" t="s">
        <v>459</v>
      </c>
    </row>
    <row r="10" spans="1:13" ht="28.5" x14ac:dyDescent="0.2">
      <c r="A10" t="s">
        <v>372</v>
      </c>
      <c r="B10" t="s">
        <v>20</v>
      </c>
      <c r="C10" t="s">
        <v>415</v>
      </c>
      <c r="D10" t="s">
        <v>377</v>
      </c>
      <c r="E10" t="s">
        <v>411</v>
      </c>
      <c r="F10" t="s">
        <v>409</v>
      </c>
      <c r="G10" t="s">
        <v>433</v>
      </c>
      <c r="H10" t="s">
        <v>437</v>
      </c>
      <c r="I10" t="s">
        <v>403</v>
      </c>
      <c r="J10" t="s">
        <v>404</v>
      </c>
      <c r="M10" s="18" t="s">
        <v>452</v>
      </c>
    </row>
    <row r="11" spans="1:13" ht="28.5" x14ac:dyDescent="0.2">
      <c r="A11" t="s">
        <v>373</v>
      </c>
      <c r="B11" t="s">
        <v>21</v>
      </c>
      <c r="C11" t="s">
        <v>414</v>
      </c>
      <c r="D11" t="s">
        <v>377</v>
      </c>
      <c r="E11" t="s">
        <v>413</v>
      </c>
      <c r="F11" t="s">
        <v>410</v>
      </c>
      <c r="G11" t="s">
        <v>435</v>
      </c>
      <c r="H11" t="s">
        <v>436</v>
      </c>
      <c r="I11" t="s">
        <v>405</v>
      </c>
      <c r="J11" t="s">
        <v>406</v>
      </c>
      <c r="K11" t="s">
        <v>399</v>
      </c>
      <c r="M11" s="18" t="s">
        <v>455</v>
      </c>
    </row>
    <row r="12" spans="1:13" ht="28.5" x14ac:dyDescent="0.2">
      <c r="A12" t="s">
        <v>374</v>
      </c>
      <c r="B12" t="s">
        <v>28</v>
      </c>
      <c r="C12" t="s">
        <v>418</v>
      </c>
      <c r="D12" t="s">
        <v>420</v>
      </c>
      <c r="E12" t="s">
        <v>419</v>
      </c>
      <c r="F12" t="s">
        <v>417</v>
      </c>
      <c r="G12" t="s">
        <v>434</v>
      </c>
      <c r="H12" t="s">
        <v>436</v>
      </c>
      <c r="I12" t="s">
        <v>407</v>
      </c>
      <c r="J12" t="s">
        <v>408</v>
      </c>
      <c r="K12" t="s">
        <v>402</v>
      </c>
      <c r="L12" t="s">
        <v>397</v>
      </c>
      <c r="M12" s="18" t="s">
        <v>458</v>
      </c>
    </row>
  </sheetData>
  <phoneticPr fontId="2"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CommandButton1">
          <controlPr defaultSize="0" autoLine="0" r:id="rId5">
            <anchor moveWithCells="1">
              <from>
                <xdr:col>1</xdr:col>
                <xdr:colOff>57150</xdr:colOff>
                <xdr:row>0</xdr:row>
                <xdr:rowOff>57150</xdr:rowOff>
              </from>
              <to>
                <xdr:col>1</xdr:col>
                <xdr:colOff>638175</xdr:colOff>
                <xdr:row>0</xdr:row>
                <xdr:rowOff>438150</xdr:rowOff>
              </to>
            </anchor>
          </controlPr>
        </control>
      </mc:Choice>
      <mc:Fallback>
        <control shapeId="614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攻击</vt:lpstr>
      <vt:lpstr>防御</vt:lpstr>
      <vt:lpstr>闪避</vt:lpstr>
      <vt:lpstr>被动</vt:lpstr>
      <vt:lpstr>风格</vt:lpstr>
      <vt:lpstr>基本</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lol</cp:lastModifiedBy>
  <dcterms:created xsi:type="dcterms:W3CDTF">2019-10-21T06:15:30Z</dcterms:created>
  <dcterms:modified xsi:type="dcterms:W3CDTF">2020-02-22T16:31:23Z</dcterms:modified>
</cp:coreProperties>
</file>