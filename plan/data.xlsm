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30100EB4-0B00-493A-9687-BBFFDBDF45D4}" xr6:coauthVersionLast="45" xr6:coauthVersionMax="45" xr10:uidLastSave="{00000000-0000-0000-0000-000000000000}"/>
  <bookViews>
    <workbookView xWindow="900" yWindow="2700" windowWidth="18390" windowHeight="10680" xr2:uid="{00000000-000D-0000-FFFF-FFFF00000000}"/>
  </bookViews>
  <sheets>
    <sheet name="属性" sheetId="4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" i="4" l="1"/>
  <c r="B53" i="4"/>
  <c r="J30" i="4" l="1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I31" i="4"/>
  <c r="I32" i="4"/>
  <c r="I33" i="4"/>
  <c r="I30" i="4"/>
  <c r="J44" i="4" l="1"/>
  <c r="J45" i="4"/>
  <c r="J46" i="4"/>
  <c r="J43" i="4"/>
</calcChain>
</file>

<file path=xl/sharedStrings.xml><?xml version="1.0" encoding="utf-8"?>
<sst xmlns="http://schemas.openxmlformats.org/spreadsheetml/2006/main" count="72" uniqueCount="71">
  <si>
    <t>力量</t>
  </si>
  <si>
    <t>敏捷</t>
  </si>
  <si>
    <t>智力</t>
  </si>
  <si>
    <t>体质</t>
  </si>
  <si>
    <t xml:space="preserve"> </t>
  </si>
  <si>
    <t>情报</t>
  </si>
  <si>
    <t>防御几率</t>
  </si>
  <si>
    <t>命中率修正</t>
  </si>
  <si>
    <t>前摇</t>
    <phoneticPr fontId="1" type="noConversion"/>
  </si>
  <si>
    <t>后摇</t>
    <phoneticPr fontId="1" type="noConversion"/>
  </si>
  <si>
    <t>招式</t>
    <phoneticPr fontId="1" type="noConversion"/>
  </si>
  <si>
    <t>【闪避】头</t>
    <phoneticPr fontId="1" type="noConversion"/>
  </si>
  <si>
    <t>己方损伤数值</t>
  </si>
  <si>
    <t>对方属性数值</t>
  </si>
  <si>
    <t>对方损伤图例</t>
  </si>
  <si>
    <t>天眼</t>
  </si>
  <si>
    <t>无知</t>
  </si>
  <si>
    <t>自知</t>
  </si>
  <si>
    <t>觉彼</t>
  </si>
  <si>
    <t>明敌</t>
  </si>
  <si>
    <t>破绽发现加成</t>
    <phoneticPr fontId="1" type="noConversion"/>
  </si>
  <si>
    <t>【闪避】躯干</t>
    <phoneticPr fontId="1" type="noConversion"/>
  </si>
  <si>
    <t>【闪避】手</t>
    <phoneticPr fontId="1" type="noConversion"/>
  </si>
  <si>
    <t>【闪避】脚</t>
    <phoneticPr fontId="1" type="noConversion"/>
  </si>
  <si>
    <t>【格挡率】脚</t>
    <phoneticPr fontId="1" type="noConversion"/>
  </si>
  <si>
    <t>【格挡率】手</t>
    <phoneticPr fontId="1" type="noConversion"/>
  </si>
  <si>
    <t>【格挡率】头</t>
    <phoneticPr fontId="1" type="noConversion"/>
  </si>
  <si>
    <t>【格挡率】躯干</t>
    <phoneticPr fontId="1" type="noConversion"/>
  </si>
  <si>
    <t>不被击中概率</t>
    <phoneticPr fontId="1" type="noConversion"/>
  </si>
  <si>
    <t>己方破绽率</t>
    <phoneticPr fontId="1" type="noConversion"/>
  </si>
  <si>
    <t>对方破绽率</t>
    <phoneticPr fontId="1" type="noConversion"/>
  </si>
  <si>
    <t>对方损伤数值</t>
    <phoneticPr fontId="1" type="noConversion"/>
  </si>
  <si>
    <t>破绽伤害</t>
    <phoneticPr fontId="1" type="noConversion"/>
  </si>
  <si>
    <t>外伤防御力</t>
    <phoneticPr fontId="1" type="noConversion"/>
  </si>
  <si>
    <t>内伤防御力</t>
    <phoneticPr fontId="1" type="noConversion"/>
  </si>
  <si>
    <t>攻击力加成</t>
    <phoneticPr fontId="1" type="noConversion"/>
  </si>
  <si>
    <t>真气</t>
    <phoneticPr fontId="1" type="noConversion"/>
  </si>
  <si>
    <t>真气值</t>
    <phoneticPr fontId="1" type="noConversion"/>
  </si>
  <si>
    <t>每0.1秒恢复真气</t>
    <phoneticPr fontId="1" type="noConversion"/>
  </si>
  <si>
    <t>削气加成</t>
    <phoneticPr fontId="1" type="noConversion"/>
  </si>
  <si>
    <t>data_D</t>
    <phoneticPr fontId="1" type="noConversion"/>
  </si>
  <si>
    <t>attAdd</t>
    <phoneticPr fontId="1" type="noConversion"/>
  </si>
  <si>
    <t>flawDam</t>
    <phoneticPr fontId="1" type="noConversion"/>
  </si>
  <si>
    <t>flawFind</t>
    <phoneticPr fontId="1" type="noConversion"/>
  </si>
  <si>
    <t>hitRateAdd</t>
    <phoneticPr fontId="1" type="noConversion"/>
  </si>
  <si>
    <t>timeAdd_z</t>
    <phoneticPr fontId="1" type="noConversion"/>
  </si>
  <si>
    <t>timeAdd_h</t>
    <phoneticPr fontId="1" type="noConversion"/>
  </si>
  <si>
    <t>timeAdd_q</t>
    <phoneticPr fontId="1" type="noConversion"/>
  </si>
  <si>
    <t>流血加成</t>
    <phoneticPr fontId="1" type="noConversion"/>
  </si>
  <si>
    <t>毒伤积累</t>
    <phoneticPr fontId="1" type="noConversion"/>
  </si>
  <si>
    <t>dod_head</t>
    <phoneticPr fontId="1" type="noConversion"/>
  </si>
  <si>
    <t>dod_body</t>
    <phoneticPr fontId="1" type="noConversion"/>
  </si>
  <si>
    <t>dod_hand</t>
    <phoneticPr fontId="1" type="noConversion"/>
  </si>
  <si>
    <t>dod_leg</t>
    <phoneticPr fontId="1" type="noConversion"/>
  </si>
  <si>
    <t>bleedAdd</t>
    <phoneticPr fontId="1" type="noConversion"/>
  </si>
  <si>
    <t>poisonAdd</t>
    <phoneticPr fontId="1" type="noConversion"/>
  </si>
  <si>
    <t>def_o</t>
    <phoneticPr fontId="1" type="noConversion"/>
  </si>
  <si>
    <t>def_i</t>
    <phoneticPr fontId="1" type="noConversion"/>
  </si>
  <si>
    <t>block_head</t>
    <phoneticPr fontId="1" type="noConversion"/>
  </si>
  <si>
    <t>block_body</t>
    <phoneticPr fontId="1" type="noConversion"/>
  </si>
  <si>
    <t>block_hand</t>
    <phoneticPr fontId="1" type="noConversion"/>
  </si>
  <si>
    <t>block_leg</t>
    <phoneticPr fontId="1" type="noConversion"/>
  </si>
  <si>
    <t>zqVal</t>
    <phoneticPr fontId="1" type="noConversion"/>
  </si>
  <si>
    <t>zqPerSec</t>
    <phoneticPr fontId="1" type="noConversion"/>
  </si>
  <si>
    <t>zqHurtAdd</t>
    <phoneticPr fontId="1" type="noConversion"/>
  </si>
  <si>
    <t>力量SX_LL</t>
    <phoneticPr fontId="1" type="noConversion"/>
  </si>
  <si>
    <t>敏捷SX_MJ</t>
    <phoneticPr fontId="1" type="noConversion"/>
  </si>
  <si>
    <t>智力SX_ZL</t>
    <phoneticPr fontId="1" type="noConversion"/>
  </si>
  <si>
    <t>体魄SX_TP</t>
    <phoneticPr fontId="1" type="noConversion"/>
  </si>
  <si>
    <t>真气SX_ZQ</t>
    <phoneticPr fontId="1" type="noConversion"/>
  </si>
  <si>
    <t>getInf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</si>
</sst>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sz val="1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2" fillId="2" borderId="0" xfId="1" applyAlignment="1">
      <alignment vertical="center"/>
    </xf>
    <xf numFmtId="0" fontId="0" fillId="0" borderId="1" xfId="0" applyBorder="1" applyAlignment="1">
      <alignment vertical="center"/>
    </xf>
    <xf numFmtId="0" fontId="2" fillId="2" borderId="1" xfId="1" applyBorder="1" applyAlignment="1">
      <alignment vertical="center"/>
    </xf>
    <xf numFmtId="9" fontId="0" fillId="0" borderId="1" xfId="0" applyNumberFormat="1" applyBorder="1" applyAlignment="1">
      <alignment vertical="center"/>
    </xf>
    <xf numFmtId="9" fontId="0" fillId="0" borderId="0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2" borderId="0" xfId="1" applyFont="1" applyAlignment="1">
      <alignment vertical="center"/>
    </xf>
    <xf numFmtId="0" fontId="3" fillId="0" borderId="0" xfId="0" applyFont="1" applyAlignment="1">
      <alignment vertical="center"/>
    </xf>
    <xf numFmtId="0" fontId="3" fillId="2" borderId="0" xfId="1" applyFont="1" applyAlignment="1">
      <alignment vertical="center"/>
    </xf>
    <xf numFmtId="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2" borderId="0" xfId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9" fontId="6" fillId="0" borderId="0" xfId="0" applyNumberFormat="1" applyFont="1" applyAlignment="1">
      <alignment vertical="center" wrapText="1"/>
    </xf>
    <xf numFmtId="9" fontId="4" fillId="0" borderId="0" xfId="0" applyNumberFormat="1" applyFont="1" applyAlignment="1">
      <alignment vertical="center" wrapText="1"/>
    </xf>
  </cellXfs>
  <cellStyles count="2">
    <cellStyle name="40% - 着色 3" xfId="1" builtinId="39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828675</xdr:colOff>
          <xdr:row>0</xdr:row>
          <xdr:rowOff>295275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4"/>
  <sheetViews>
    <sheetView tabSelected="1" zoomScaleNormal="100" workbookViewId="0">
      <pane ySplit="1" topLeftCell="A2" activePane="bottomLeft" state="frozen"/>
      <selection pane="bottomLeft" activeCell="I6" sqref="I6"/>
    </sheetView>
  </sheetViews>
  <sheetFormatPr defaultColWidth="9.125" defaultRowHeight="14.25" x14ac:dyDescent="0.2"/>
  <cols>
    <col min="1" max="1" width="16" style="1" bestFit="1" customWidth="1"/>
    <col min="2" max="2" width="20.75" style="1" customWidth="1"/>
    <col min="3" max="4" width="15.125" style="1" customWidth="1"/>
    <col min="5" max="5" width="15.125" style="16" customWidth="1"/>
    <col min="6" max="6" width="15.125" style="12" customWidth="1"/>
    <col min="7" max="8" width="15.125" style="1" customWidth="1"/>
    <col min="9" max="9" width="9.125" style="5"/>
    <col min="10" max="16384" width="9.125" style="1"/>
  </cols>
  <sheetData>
    <row r="1" spans="1:9" ht="38.25" customHeight="1" x14ac:dyDescent="0.2">
      <c r="B1" s="1" t="s">
        <v>40</v>
      </c>
      <c r="C1" s="1">
        <v>5</v>
      </c>
      <c r="D1" s="1">
        <v>4</v>
      </c>
      <c r="E1" s="16">
        <v>3</v>
      </c>
      <c r="F1" s="12">
        <v>2</v>
      </c>
      <c r="G1" s="1">
        <v>1</v>
      </c>
      <c r="H1" s="1">
        <v>0</v>
      </c>
    </row>
    <row r="2" spans="1:9" s="4" customFormat="1" x14ac:dyDescent="0.2">
      <c r="A2" s="11"/>
      <c r="B2" s="4" t="s">
        <v>65</v>
      </c>
      <c r="C2" s="4">
        <v>5</v>
      </c>
      <c r="D2" s="4">
        <v>4</v>
      </c>
      <c r="E2" s="17">
        <v>3</v>
      </c>
      <c r="F2" s="13">
        <v>2</v>
      </c>
      <c r="G2" s="4">
        <v>1</v>
      </c>
      <c r="H2" s="4">
        <v>0</v>
      </c>
      <c r="I2" s="6"/>
    </row>
    <row r="3" spans="1:9" x14ac:dyDescent="0.2">
      <c r="A3" s="1" t="s">
        <v>41</v>
      </c>
      <c r="B3" s="1" t="s">
        <v>35</v>
      </c>
      <c r="C3" s="2">
        <v>0.75</v>
      </c>
      <c r="D3" s="2">
        <v>0.5</v>
      </c>
      <c r="E3" s="18">
        <v>0.25</v>
      </c>
      <c r="F3" s="14">
        <v>0</v>
      </c>
      <c r="G3" s="2">
        <v>-0.25</v>
      </c>
      <c r="H3" s="2">
        <v>-0.5</v>
      </c>
    </row>
    <row r="4" spans="1:9" x14ac:dyDescent="0.2">
      <c r="A4" s="1" t="s">
        <v>42</v>
      </c>
      <c r="B4" s="1" t="s">
        <v>32</v>
      </c>
      <c r="C4" s="2">
        <v>2</v>
      </c>
      <c r="D4" s="2">
        <v>1.65</v>
      </c>
      <c r="E4" s="18">
        <v>1.55</v>
      </c>
      <c r="F4" s="14">
        <v>1.45</v>
      </c>
      <c r="G4" s="2">
        <v>1.25</v>
      </c>
      <c r="H4" s="2">
        <v>1</v>
      </c>
    </row>
    <row r="5" spans="1:9" x14ac:dyDescent="0.2">
      <c r="H5" s="1" t="s">
        <v>4</v>
      </c>
    </row>
    <row r="6" spans="1:9" s="4" customFormat="1" x14ac:dyDescent="0.2">
      <c r="A6" s="11"/>
      <c r="B6" s="4" t="s">
        <v>66</v>
      </c>
      <c r="C6" s="4">
        <v>5</v>
      </c>
      <c r="D6" s="4">
        <v>4</v>
      </c>
      <c r="E6" s="17">
        <v>3</v>
      </c>
      <c r="F6" s="13">
        <v>2</v>
      </c>
      <c r="G6" s="4">
        <v>1</v>
      </c>
      <c r="H6" s="4">
        <v>0</v>
      </c>
      <c r="I6" s="6"/>
    </row>
    <row r="7" spans="1:9" x14ac:dyDescent="0.2">
      <c r="A7" s="1" t="s">
        <v>47</v>
      </c>
      <c r="B7" s="1" t="s">
        <v>8</v>
      </c>
      <c r="C7" s="3">
        <v>-0.1</v>
      </c>
      <c r="D7" s="3"/>
      <c r="E7" s="19"/>
      <c r="F7" s="15"/>
      <c r="G7" s="3"/>
      <c r="H7" s="3">
        <v>0.1</v>
      </c>
    </row>
    <row r="8" spans="1:9" x14ac:dyDescent="0.2">
      <c r="A8" s="1" t="s">
        <v>45</v>
      </c>
      <c r="B8" s="1" t="s">
        <v>10</v>
      </c>
      <c r="C8" s="3">
        <v>-0.1</v>
      </c>
      <c r="D8" s="3">
        <v>-0.1</v>
      </c>
      <c r="E8" s="3">
        <v>-0.1</v>
      </c>
      <c r="F8" s="15"/>
      <c r="G8" s="3"/>
      <c r="H8" s="3">
        <v>0.1</v>
      </c>
    </row>
    <row r="9" spans="1:9" x14ac:dyDescent="0.2">
      <c r="A9" s="1" t="s">
        <v>46</v>
      </c>
      <c r="B9" s="1" t="s">
        <v>9</v>
      </c>
      <c r="C9" s="3">
        <v>-0.1</v>
      </c>
      <c r="D9" s="3">
        <v>-0.1</v>
      </c>
      <c r="E9" s="19"/>
      <c r="F9" s="15"/>
      <c r="G9" s="3">
        <v>0.1</v>
      </c>
      <c r="H9" s="3">
        <v>0.1</v>
      </c>
    </row>
    <row r="10" spans="1:9" x14ac:dyDescent="0.2">
      <c r="A10" s="1" t="s">
        <v>50</v>
      </c>
      <c r="B10" t="s">
        <v>11</v>
      </c>
      <c r="C10" s="2">
        <v>0.55000000000000004</v>
      </c>
      <c r="D10" s="2">
        <v>0.5</v>
      </c>
      <c r="E10" s="18">
        <v>0.45</v>
      </c>
      <c r="F10" s="14">
        <v>0.4</v>
      </c>
      <c r="G10" s="2">
        <v>0.35</v>
      </c>
      <c r="H10" s="2">
        <v>0.3</v>
      </c>
    </row>
    <row r="11" spans="1:9" x14ac:dyDescent="0.2">
      <c r="A11" s="1" t="s">
        <v>51</v>
      </c>
      <c r="B11" t="s">
        <v>21</v>
      </c>
      <c r="C11" s="2">
        <v>0.35</v>
      </c>
      <c r="D11" s="2">
        <v>0.3</v>
      </c>
      <c r="E11" s="18">
        <v>0.25</v>
      </c>
      <c r="F11" s="14">
        <v>0.2</v>
      </c>
      <c r="G11" s="2">
        <v>0.15</v>
      </c>
      <c r="H11" s="2">
        <v>0.05</v>
      </c>
    </row>
    <row r="12" spans="1:9" x14ac:dyDescent="0.2">
      <c r="A12" s="1" t="s">
        <v>52</v>
      </c>
      <c r="B12" t="s">
        <v>22</v>
      </c>
      <c r="C12" s="2">
        <v>0.5</v>
      </c>
      <c r="D12" s="2">
        <v>0.45</v>
      </c>
      <c r="E12" s="18">
        <v>0.4</v>
      </c>
      <c r="F12" s="14">
        <v>0.35</v>
      </c>
      <c r="G12" s="2">
        <v>0.2</v>
      </c>
      <c r="H12" s="2">
        <v>0.15</v>
      </c>
    </row>
    <row r="13" spans="1:9" x14ac:dyDescent="0.2">
      <c r="A13" s="1" t="s">
        <v>53</v>
      </c>
      <c r="B13" t="s">
        <v>23</v>
      </c>
      <c r="C13" s="2">
        <v>0.45</v>
      </c>
      <c r="D13" s="2">
        <v>0.4</v>
      </c>
      <c r="E13" s="18">
        <v>0.35</v>
      </c>
      <c r="F13" s="14">
        <v>0.3</v>
      </c>
      <c r="G13" s="2">
        <v>0.25</v>
      </c>
      <c r="H13" s="2">
        <v>0.1</v>
      </c>
    </row>
    <row r="15" spans="1:9" s="4" customFormat="1" x14ac:dyDescent="0.2">
      <c r="A15" s="11"/>
      <c r="B15" s="4" t="s">
        <v>67</v>
      </c>
      <c r="C15" s="4">
        <v>5</v>
      </c>
      <c r="D15" s="4">
        <v>4</v>
      </c>
      <c r="E15" s="17">
        <v>3</v>
      </c>
      <c r="F15" s="13">
        <v>2</v>
      </c>
      <c r="G15" s="4">
        <v>1</v>
      </c>
      <c r="H15" s="4">
        <v>0</v>
      </c>
      <c r="I15" s="6"/>
    </row>
    <row r="16" spans="1:9" x14ac:dyDescent="0.2">
      <c r="A16" s="1" t="s">
        <v>43</v>
      </c>
      <c r="B16" s="1" t="s">
        <v>20</v>
      </c>
      <c r="C16" s="2">
        <v>0.25</v>
      </c>
      <c r="D16" s="2">
        <v>0.2</v>
      </c>
      <c r="E16" s="18">
        <v>0.15</v>
      </c>
      <c r="F16" s="14">
        <v>0.1</v>
      </c>
      <c r="G16" s="2">
        <v>0.05</v>
      </c>
      <c r="H16" s="2">
        <v>0</v>
      </c>
    </row>
    <row r="17" spans="1:14" s="9" customFormat="1" x14ac:dyDescent="0.2">
      <c r="A17" s="9" t="s">
        <v>44</v>
      </c>
      <c r="B17" s="9" t="s">
        <v>7</v>
      </c>
      <c r="C17" s="20">
        <v>0.1</v>
      </c>
      <c r="D17" s="20">
        <v>0.06</v>
      </c>
      <c r="E17" s="21">
        <v>0.03</v>
      </c>
      <c r="F17" s="22">
        <v>0</v>
      </c>
      <c r="G17" s="20">
        <v>-0.05</v>
      </c>
      <c r="H17" s="20">
        <v>-0.1</v>
      </c>
      <c r="I17" s="10"/>
    </row>
    <row r="18" spans="1:14" x14ac:dyDescent="0.2">
      <c r="A18" s="1" t="s">
        <v>70</v>
      </c>
      <c r="B18" s="1" t="s">
        <v>5</v>
      </c>
      <c r="C18" s="3" t="s">
        <v>15</v>
      </c>
      <c r="D18" s="3" t="s">
        <v>19</v>
      </c>
      <c r="E18" s="3" t="s">
        <v>18</v>
      </c>
      <c r="F18" s="3" t="s">
        <v>17</v>
      </c>
      <c r="G18" s="1" t="s">
        <v>16</v>
      </c>
      <c r="H18" s="1" t="s">
        <v>16</v>
      </c>
    </row>
    <row r="19" spans="1:14" x14ac:dyDescent="0.2">
      <c r="B19" s="1" t="s">
        <v>31</v>
      </c>
      <c r="C19" s="3">
        <v>1</v>
      </c>
      <c r="D19" s="3"/>
      <c r="E19" s="3"/>
      <c r="F19" s="3"/>
    </row>
    <row r="20" spans="1:14" x14ac:dyDescent="0.2">
      <c r="B20" s="1" t="s">
        <v>13</v>
      </c>
      <c r="C20" s="3">
        <v>1</v>
      </c>
      <c r="D20" s="3">
        <v>1</v>
      </c>
      <c r="E20" s="3"/>
      <c r="F20" s="3"/>
    </row>
    <row r="21" spans="1:14" x14ac:dyDescent="0.2">
      <c r="B21" s="1" t="s">
        <v>30</v>
      </c>
      <c r="C21" s="3">
        <v>1</v>
      </c>
      <c r="D21" s="3">
        <v>1</v>
      </c>
      <c r="E21" s="3"/>
      <c r="F21" s="3"/>
    </row>
    <row r="22" spans="1:14" x14ac:dyDescent="0.2">
      <c r="B22" s="1" t="s">
        <v>29</v>
      </c>
      <c r="C22" s="3">
        <v>1</v>
      </c>
      <c r="D22" s="3">
        <v>1</v>
      </c>
      <c r="E22" s="3">
        <v>1</v>
      </c>
      <c r="F22" s="3"/>
    </row>
    <row r="23" spans="1:14" x14ac:dyDescent="0.2">
      <c r="B23" s="1" t="s">
        <v>14</v>
      </c>
      <c r="C23" s="3">
        <v>1</v>
      </c>
      <c r="D23" s="3">
        <v>1</v>
      </c>
      <c r="E23" s="3">
        <v>1</v>
      </c>
      <c r="F23" s="3"/>
    </row>
    <row r="24" spans="1:14" x14ac:dyDescent="0.2">
      <c r="B24" s="1" t="s">
        <v>12</v>
      </c>
      <c r="C24" s="3">
        <v>1</v>
      </c>
      <c r="D24" s="3">
        <v>1</v>
      </c>
      <c r="E24" s="3">
        <v>1</v>
      </c>
      <c r="F24" s="3">
        <v>1</v>
      </c>
      <c r="G24" s="1">
        <v>1</v>
      </c>
    </row>
    <row r="25" spans="1:14" x14ac:dyDescent="0.2">
      <c r="A25" s="1" t="s">
        <v>54</v>
      </c>
      <c r="B25" s="1" t="s">
        <v>48</v>
      </c>
      <c r="C25" s="2">
        <v>0.75</v>
      </c>
      <c r="D25" s="2">
        <v>0.5</v>
      </c>
      <c r="E25" s="18">
        <v>0.25</v>
      </c>
      <c r="F25" s="14">
        <v>0</v>
      </c>
      <c r="G25" s="2">
        <v>-0.25</v>
      </c>
      <c r="H25" s="2">
        <v>-0.5</v>
      </c>
    </row>
    <row r="26" spans="1:14" x14ac:dyDescent="0.2">
      <c r="A26" s="1" t="s">
        <v>55</v>
      </c>
      <c r="B26" s="1" t="s">
        <v>49</v>
      </c>
      <c r="C26" s="2">
        <v>0.75</v>
      </c>
      <c r="D26" s="2">
        <v>0.5</v>
      </c>
      <c r="E26" s="18">
        <v>0.25</v>
      </c>
      <c r="F26" s="14">
        <v>0</v>
      </c>
      <c r="G26" s="2">
        <v>-0.25</v>
      </c>
      <c r="H26" s="2">
        <v>-0.5</v>
      </c>
    </row>
    <row r="28" spans="1:14" s="4" customFormat="1" x14ac:dyDescent="0.2">
      <c r="A28" s="11"/>
      <c r="B28" s="4" t="s">
        <v>68</v>
      </c>
      <c r="C28" s="4">
        <v>5</v>
      </c>
      <c r="D28" s="4">
        <v>4</v>
      </c>
      <c r="E28" s="17">
        <v>3</v>
      </c>
      <c r="F28" s="13">
        <v>2</v>
      </c>
      <c r="G28" s="4">
        <v>1</v>
      </c>
      <c r="H28" s="4">
        <v>0</v>
      </c>
      <c r="I28" s="6"/>
    </row>
    <row r="29" spans="1:14" x14ac:dyDescent="0.2">
      <c r="B29" s="1" t="s">
        <v>6</v>
      </c>
      <c r="C29" s="2"/>
      <c r="D29" s="2"/>
      <c r="E29" s="18"/>
      <c r="F29" s="14"/>
      <c r="G29" s="2"/>
      <c r="H29" s="2"/>
      <c r="I29" s="5" t="s">
        <v>28</v>
      </c>
    </row>
    <row r="30" spans="1:14" x14ac:dyDescent="0.2">
      <c r="A30" s="1" t="s">
        <v>58</v>
      </c>
      <c r="B30" t="s">
        <v>26</v>
      </c>
      <c r="C30" s="2">
        <v>0.55000000000000004</v>
      </c>
      <c r="D30" s="2">
        <v>0.5</v>
      </c>
      <c r="E30" s="18">
        <v>0.45</v>
      </c>
      <c r="F30" s="14">
        <v>0.4</v>
      </c>
      <c r="G30" s="2">
        <v>0.35</v>
      </c>
      <c r="H30" s="2">
        <v>0.3</v>
      </c>
      <c r="I30" s="7">
        <f t="shared" ref="I30:N33" si="0">1-(1-C10)*(1-C30)</f>
        <v>0.7975000000000001</v>
      </c>
      <c r="J30" s="8">
        <f t="shared" si="0"/>
        <v>0.75</v>
      </c>
      <c r="K30" s="8">
        <f t="shared" si="0"/>
        <v>0.69750000000000001</v>
      </c>
      <c r="L30" s="8">
        <f t="shared" si="0"/>
        <v>0.64</v>
      </c>
      <c r="M30" s="8">
        <f t="shared" si="0"/>
        <v>0.5774999999999999</v>
      </c>
      <c r="N30" s="8">
        <f t="shared" si="0"/>
        <v>0.51</v>
      </c>
    </row>
    <row r="31" spans="1:14" x14ac:dyDescent="0.2">
      <c r="A31" s="1" t="s">
        <v>59</v>
      </c>
      <c r="B31" t="s">
        <v>27</v>
      </c>
      <c r="C31" s="2">
        <v>0.35</v>
      </c>
      <c r="D31" s="2">
        <v>0.3</v>
      </c>
      <c r="E31" s="18">
        <v>0.25</v>
      </c>
      <c r="F31" s="14">
        <v>0.2</v>
      </c>
      <c r="G31" s="2">
        <v>0.15</v>
      </c>
      <c r="H31" s="2">
        <v>0.05</v>
      </c>
      <c r="I31" s="7">
        <f t="shared" si="0"/>
        <v>0.5774999999999999</v>
      </c>
      <c r="J31" s="8">
        <f t="shared" si="0"/>
        <v>0.51</v>
      </c>
      <c r="K31" s="8">
        <f t="shared" si="0"/>
        <v>0.4375</v>
      </c>
      <c r="L31" s="8">
        <f t="shared" si="0"/>
        <v>0.35999999999999988</v>
      </c>
      <c r="M31" s="8">
        <f t="shared" si="0"/>
        <v>0.27750000000000008</v>
      </c>
      <c r="N31" s="8">
        <f t="shared" si="0"/>
        <v>9.7500000000000031E-2</v>
      </c>
    </row>
    <row r="32" spans="1:14" x14ac:dyDescent="0.2">
      <c r="A32" s="1" t="s">
        <v>60</v>
      </c>
      <c r="B32" t="s">
        <v>25</v>
      </c>
      <c r="C32" s="2">
        <v>0.5</v>
      </c>
      <c r="D32" s="2">
        <v>0.45</v>
      </c>
      <c r="E32" s="18">
        <v>0.4</v>
      </c>
      <c r="F32" s="14">
        <v>0.35</v>
      </c>
      <c r="G32" s="2">
        <v>0.2</v>
      </c>
      <c r="H32" s="2">
        <v>0.15</v>
      </c>
      <c r="I32" s="7">
        <f t="shared" si="0"/>
        <v>0.75</v>
      </c>
      <c r="J32" s="8">
        <f t="shared" si="0"/>
        <v>0.69750000000000001</v>
      </c>
      <c r="K32" s="8">
        <f t="shared" si="0"/>
        <v>0.64</v>
      </c>
      <c r="L32" s="8">
        <f t="shared" si="0"/>
        <v>0.5774999999999999</v>
      </c>
      <c r="M32" s="8">
        <f t="shared" si="0"/>
        <v>0.35999999999999988</v>
      </c>
      <c r="N32" s="8">
        <f t="shared" si="0"/>
        <v>0.27750000000000008</v>
      </c>
    </row>
    <row r="33" spans="1:14" x14ac:dyDescent="0.2">
      <c r="A33" s="1" t="s">
        <v>61</v>
      </c>
      <c r="B33" t="s">
        <v>24</v>
      </c>
      <c r="C33" s="2">
        <v>0.45</v>
      </c>
      <c r="D33" s="2">
        <v>0.4</v>
      </c>
      <c r="E33" s="18">
        <v>0.35</v>
      </c>
      <c r="F33" s="14">
        <v>0.3</v>
      </c>
      <c r="G33" s="2">
        <v>0.25</v>
      </c>
      <c r="H33" s="2">
        <v>0.1</v>
      </c>
      <c r="I33" s="7">
        <f t="shared" si="0"/>
        <v>0.69750000000000001</v>
      </c>
      <c r="J33" s="8">
        <f t="shared" si="0"/>
        <v>0.64</v>
      </c>
      <c r="K33" s="8">
        <f t="shared" si="0"/>
        <v>0.5774999999999999</v>
      </c>
      <c r="L33" s="8">
        <f t="shared" si="0"/>
        <v>0.51</v>
      </c>
      <c r="M33" s="8">
        <f t="shared" si="0"/>
        <v>0.4375</v>
      </c>
      <c r="N33" s="8">
        <f t="shared" si="0"/>
        <v>0.18999999999999995</v>
      </c>
    </row>
    <row r="34" spans="1:14" x14ac:dyDescent="0.2">
      <c r="A34" s="1" t="s">
        <v>56</v>
      </c>
      <c r="B34" s="1" t="s">
        <v>33</v>
      </c>
      <c r="C34" s="2">
        <v>0.25</v>
      </c>
      <c r="D34" s="2">
        <v>0.2</v>
      </c>
      <c r="E34" s="18">
        <v>0.15</v>
      </c>
      <c r="F34" s="14">
        <v>0.1</v>
      </c>
      <c r="G34" s="2">
        <v>0.05</v>
      </c>
      <c r="H34" s="2">
        <v>0</v>
      </c>
      <c r="I34" s="7"/>
      <c r="J34" s="8"/>
      <c r="K34" s="8"/>
      <c r="L34" s="8"/>
      <c r="M34" s="8"/>
      <c r="N34" s="8"/>
    </row>
    <row r="35" spans="1:14" x14ac:dyDescent="0.2">
      <c r="A35" s="1" t="s">
        <v>57</v>
      </c>
      <c r="B35" s="1" t="s">
        <v>34</v>
      </c>
      <c r="C35" s="2">
        <v>0.25</v>
      </c>
      <c r="D35" s="2">
        <v>0.2</v>
      </c>
      <c r="E35" s="18">
        <v>0.15</v>
      </c>
      <c r="F35" s="14">
        <v>0.1</v>
      </c>
      <c r="G35" s="2">
        <v>0.05</v>
      </c>
      <c r="H35" s="2">
        <v>0</v>
      </c>
      <c r="I35" s="7"/>
      <c r="J35" s="8"/>
      <c r="K35" s="8"/>
      <c r="L35" s="8"/>
      <c r="M35" s="8"/>
      <c r="N35" s="8"/>
    </row>
    <row r="36" spans="1:14" x14ac:dyDescent="0.2">
      <c r="C36" s="2"/>
      <c r="D36" s="2"/>
      <c r="E36" s="18"/>
      <c r="F36" s="14"/>
      <c r="G36" s="2"/>
      <c r="H36" s="2"/>
    </row>
    <row r="37" spans="1:14" s="4" customFormat="1" x14ac:dyDescent="0.2">
      <c r="A37" s="11"/>
      <c r="B37" s="4" t="s">
        <v>69</v>
      </c>
      <c r="E37" s="17">
        <v>3</v>
      </c>
      <c r="F37" s="13">
        <v>2</v>
      </c>
      <c r="G37" s="4">
        <v>1</v>
      </c>
      <c r="H37" s="4">
        <v>0</v>
      </c>
      <c r="I37" s="6"/>
    </row>
    <row r="38" spans="1:14" x14ac:dyDescent="0.2">
      <c r="A38" s="1" t="s">
        <v>62</v>
      </c>
      <c r="B38" s="1" t="s">
        <v>37</v>
      </c>
      <c r="E38" s="16">
        <v>180</v>
      </c>
      <c r="F38" s="12">
        <v>140</v>
      </c>
      <c r="G38" s="1">
        <v>110</v>
      </c>
      <c r="H38" s="1">
        <v>80</v>
      </c>
    </row>
    <row r="39" spans="1:14" x14ac:dyDescent="0.2">
      <c r="A39" s="1" t="s">
        <v>63</v>
      </c>
      <c r="B39" s="1" t="s">
        <v>38</v>
      </c>
      <c r="E39" s="16">
        <v>1.1000000000000001</v>
      </c>
      <c r="F39" s="12">
        <v>1</v>
      </c>
      <c r="G39" s="1">
        <v>0.9</v>
      </c>
      <c r="H39" s="1">
        <v>0.8</v>
      </c>
    </row>
    <row r="40" spans="1:14" x14ac:dyDescent="0.2">
      <c r="A40" s="1" t="s">
        <v>64</v>
      </c>
      <c r="B40" s="1" t="s">
        <v>39</v>
      </c>
      <c r="E40" s="18">
        <v>1.25</v>
      </c>
      <c r="F40" s="14">
        <v>1.1000000000000001</v>
      </c>
      <c r="G40" s="2">
        <v>1</v>
      </c>
      <c r="H40" s="2">
        <v>0.9</v>
      </c>
    </row>
    <row r="42" spans="1:14" x14ac:dyDescent="0.2">
      <c r="C42" s="1" t="s">
        <v>0</v>
      </c>
      <c r="D42" s="1" t="s">
        <v>1</v>
      </c>
      <c r="E42" s="16" t="s">
        <v>2</v>
      </c>
      <c r="F42" s="12" t="s">
        <v>3</v>
      </c>
      <c r="G42" s="1" t="s">
        <v>36</v>
      </c>
    </row>
    <row r="43" spans="1:14" x14ac:dyDescent="0.2">
      <c r="C43" s="1">
        <v>3</v>
      </c>
      <c r="D43" s="1">
        <v>3</v>
      </c>
      <c r="E43" s="16">
        <v>3</v>
      </c>
      <c r="F43" s="12">
        <v>3</v>
      </c>
      <c r="G43" s="1">
        <v>1</v>
      </c>
      <c r="J43" s="1">
        <f>13-SUM(C43:G43)</f>
        <v>0</v>
      </c>
    </row>
    <row r="44" spans="1:14" x14ac:dyDescent="0.2">
      <c r="C44" s="1">
        <v>5</v>
      </c>
      <c r="D44" s="1">
        <v>2</v>
      </c>
      <c r="E44" s="16">
        <v>2</v>
      </c>
      <c r="F44" s="12">
        <v>3</v>
      </c>
      <c r="G44" s="1">
        <v>1</v>
      </c>
      <c r="J44" s="1">
        <f t="shared" ref="J44:J46" si="1">13-SUM(C44:G44)</f>
        <v>0</v>
      </c>
    </row>
    <row r="45" spans="1:14" x14ac:dyDescent="0.2">
      <c r="C45" s="1">
        <v>5</v>
      </c>
      <c r="D45" s="1">
        <v>5</v>
      </c>
      <c r="E45" s="16">
        <v>1</v>
      </c>
      <c r="F45" s="12">
        <v>1</v>
      </c>
      <c r="G45" s="1">
        <v>1</v>
      </c>
      <c r="J45" s="1">
        <f t="shared" si="1"/>
        <v>0</v>
      </c>
    </row>
    <row r="46" spans="1:14" x14ac:dyDescent="0.2">
      <c r="J46" s="1">
        <f t="shared" si="1"/>
        <v>13</v>
      </c>
    </row>
    <row r="53" spans="2:2" x14ac:dyDescent="0.2">
      <c r="B53" s="1">
        <f>(1+0.2)*0.8</f>
        <v>0.96</v>
      </c>
    </row>
    <row r="54" spans="2:2" x14ac:dyDescent="0.2">
      <c r="B54" s="1">
        <f>1*1.2*0.8</f>
        <v>0.96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828675</xdr:colOff>
                <xdr:row>0</xdr:row>
                <xdr:rowOff>295275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pealpool</dc:creator>
  <cp:lastModifiedBy>admin</cp:lastModifiedBy>
  <dcterms:created xsi:type="dcterms:W3CDTF">2017-01-18T13:39:47Z</dcterms:created>
  <dcterms:modified xsi:type="dcterms:W3CDTF">2019-12-17T09:11:59Z</dcterms:modified>
</cp:coreProperties>
</file>